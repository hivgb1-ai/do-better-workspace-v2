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공유 드라이브\HQ_Team_SCM\SCM_공용\★성과측정지표(KPI)\2026년\물류운영\쿠팡 비용 절감\밀크런&amp;쉽먼트\"/>
    </mc:Choice>
  </mc:AlternateContent>
  <xr:revisionPtr revIDLastSave="0" documentId="13_ncr:1_{8EC1C535-C0F9-492B-9072-28D952E75D61}" xr6:coauthVersionLast="47" xr6:coauthVersionMax="47" xr10:uidLastSave="{00000000-0000-0000-0000-000000000000}"/>
  <bookViews>
    <workbookView xWindow="38280" yWindow="-120" windowWidth="38640" windowHeight="21120" activeTab="1" xr2:uid="{4AD39F71-AE63-4F13-8C1D-D77D65D69EA2}"/>
  </bookViews>
  <sheets>
    <sheet name="2025년" sheetId="1" r:id="rId1"/>
    <sheet name="2026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2" l="1"/>
  <c r="V23" i="2"/>
  <c r="AL25" i="2"/>
  <c r="T35" i="2"/>
  <c r="S35" i="2" l="1"/>
  <c r="S26" i="2"/>
  <c r="S21" i="2"/>
  <c r="R28" i="2"/>
  <c r="R26" i="2" l="1"/>
  <c r="AB26" i="2" s="1"/>
  <c r="R21" i="2"/>
  <c r="AB21" i="2" s="1"/>
  <c r="AB9" i="2"/>
  <c r="Q10" i="2"/>
  <c r="AB10" i="2" s="1"/>
  <c r="Q7" i="2"/>
  <c r="AN24" i="2"/>
  <c r="N23" i="2"/>
  <c r="N33" i="2" s="1"/>
  <c r="Z34" i="2"/>
  <c r="J34" i="2"/>
  <c r="Z33" i="2"/>
  <c r="Y33" i="2"/>
  <c r="X33" i="2"/>
  <c r="W33" i="2"/>
  <c r="U33" i="2"/>
  <c r="Q33" i="2"/>
  <c r="J33" i="2"/>
  <c r="I33" i="2"/>
  <c r="H33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AA31" i="2"/>
  <c r="Z31" i="2"/>
  <c r="Y31" i="2"/>
  <c r="X31" i="2"/>
  <c r="W31" i="2"/>
  <c r="V31" i="2"/>
  <c r="U31" i="2"/>
  <c r="T31" i="2"/>
  <c r="S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AA29" i="2"/>
  <c r="Z29" i="2"/>
  <c r="W29" i="2"/>
  <c r="V29" i="2"/>
  <c r="T29" i="2"/>
  <c r="Q29" i="2"/>
  <c r="M29" i="2"/>
  <c r="L29" i="2"/>
  <c r="K29" i="2"/>
  <c r="J29" i="2"/>
  <c r="I29" i="2"/>
  <c r="H29" i="2"/>
  <c r="E29" i="2"/>
  <c r="AA28" i="2"/>
  <c r="Z28" i="2"/>
  <c r="Y28" i="2"/>
  <c r="Y29" i="2" s="1"/>
  <c r="Y34" i="2" s="1"/>
  <c r="X28" i="2"/>
  <c r="X29" i="2" s="1"/>
  <c r="W28" i="2"/>
  <c r="V28" i="2"/>
  <c r="V33" i="2" s="1"/>
  <c r="U28" i="2"/>
  <c r="U29" i="2" s="1"/>
  <c r="T28" i="2"/>
  <c r="S28" i="2"/>
  <c r="S29" i="2" s="1"/>
  <c r="P28" i="2"/>
  <c r="O28" i="2"/>
  <c r="O29" i="2" s="1"/>
  <c r="N28" i="2"/>
  <c r="N29" i="2" s="1"/>
  <c r="M28" i="2"/>
  <c r="L28" i="2"/>
  <c r="K28" i="2"/>
  <c r="J28" i="2"/>
  <c r="I28" i="2"/>
  <c r="H28" i="2"/>
  <c r="G28" i="2"/>
  <c r="G29" i="2" s="1"/>
  <c r="F28" i="2"/>
  <c r="F29" i="2" s="1"/>
  <c r="E28" i="2"/>
  <c r="D28" i="2"/>
  <c r="D29" i="2" s="1"/>
  <c r="AB27" i="2"/>
  <c r="AB25" i="2"/>
  <c r="Z24" i="2"/>
  <c r="Y24" i="2"/>
  <c r="X24" i="2"/>
  <c r="T24" i="2"/>
  <c r="Q24" i="2"/>
  <c r="O24" i="2"/>
  <c r="N24" i="2"/>
  <c r="J24" i="2"/>
  <c r="I24" i="2"/>
  <c r="I34" i="2" s="1"/>
  <c r="H24" i="2"/>
  <c r="H34" i="2" s="1"/>
  <c r="G24" i="2"/>
  <c r="G34" i="2" s="1"/>
  <c r="F24" i="2"/>
  <c r="F34" i="2" s="1"/>
  <c r="AA23" i="2"/>
  <c r="AA24" i="2" s="1"/>
  <c r="AA34" i="2" s="1"/>
  <c r="Z23" i="2"/>
  <c r="Y23" i="2"/>
  <c r="X23" i="2"/>
  <c r="W23" i="2"/>
  <c r="W24" i="2" s="1"/>
  <c r="W34" i="2" s="1"/>
  <c r="V24" i="2"/>
  <c r="U23" i="2"/>
  <c r="U24" i="2" s="1"/>
  <c r="T23" i="2"/>
  <c r="S23" i="2"/>
  <c r="P23" i="2"/>
  <c r="P24" i="2" s="1"/>
  <c r="O23" i="2"/>
  <c r="O33" i="2" s="1"/>
  <c r="M23" i="2"/>
  <c r="M24" i="2" s="1"/>
  <c r="M34" i="2" s="1"/>
  <c r="L23" i="2"/>
  <c r="L33" i="2" s="1"/>
  <c r="K23" i="2"/>
  <c r="K24" i="2" s="1"/>
  <c r="K34" i="2" s="1"/>
  <c r="J23" i="2"/>
  <c r="I23" i="2"/>
  <c r="H23" i="2"/>
  <c r="G23" i="2"/>
  <c r="G33" i="2" s="1"/>
  <c r="F23" i="2"/>
  <c r="F33" i="2" s="1"/>
  <c r="E23" i="2"/>
  <c r="E33" i="2" s="1"/>
  <c r="D23" i="2"/>
  <c r="D33" i="2" s="1"/>
  <c r="AB22" i="2"/>
  <c r="AB20" i="2"/>
  <c r="O14" i="2"/>
  <c r="N14" i="2"/>
  <c r="M14" i="2"/>
  <c r="L14" i="2"/>
  <c r="K14" i="2"/>
  <c r="H14" i="2"/>
  <c r="G14" i="2"/>
  <c r="F14" i="2"/>
  <c r="E14" i="2"/>
  <c r="D14" i="2"/>
  <c r="AA13" i="2"/>
  <c r="AA14" i="2" s="1"/>
  <c r="Z13" i="2"/>
  <c r="Y13" i="2"/>
  <c r="Y14" i="2" s="1"/>
  <c r="X13" i="2"/>
  <c r="X14" i="2" s="1"/>
  <c r="W13" i="2"/>
  <c r="V13" i="2"/>
  <c r="U13" i="2"/>
  <c r="U14" i="2" s="1"/>
  <c r="T13" i="2"/>
  <c r="T14" i="2" s="1"/>
  <c r="S13" i="2"/>
  <c r="R13" i="2"/>
  <c r="P13" i="2"/>
  <c r="O13" i="2"/>
  <c r="N13" i="2"/>
  <c r="M13" i="2"/>
  <c r="L13" i="2"/>
  <c r="K13" i="2"/>
  <c r="J13" i="2"/>
  <c r="J14" i="2" s="1"/>
  <c r="I13" i="2"/>
  <c r="I14" i="2" s="1"/>
  <c r="H13" i="2"/>
  <c r="G13" i="2"/>
  <c r="F13" i="2"/>
  <c r="E13" i="2"/>
  <c r="D13" i="2"/>
  <c r="AA12" i="2"/>
  <c r="Z12" i="2"/>
  <c r="Z14" i="2" s="1"/>
  <c r="Y12" i="2"/>
  <c r="X12" i="2"/>
  <c r="W12" i="2"/>
  <c r="W14" i="2" s="1"/>
  <c r="V12" i="2"/>
  <c r="V14" i="2" s="1"/>
  <c r="U12" i="2"/>
  <c r="T12" i="2"/>
  <c r="S12" i="2"/>
  <c r="R12" i="2"/>
  <c r="R14" i="2" s="1"/>
  <c r="Q12" i="2"/>
  <c r="P12" i="2"/>
  <c r="P14" i="2" s="1"/>
  <c r="O12" i="2"/>
  <c r="N12" i="2"/>
  <c r="M12" i="2"/>
  <c r="L12" i="2"/>
  <c r="K12" i="2"/>
  <c r="J12" i="2"/>
  <c r="I12" i="2"/>
  <c r="H12" i="2"/>
  <c r="G12" i="2"/>
  <c r="F12" i="2"/>
  <c r="E12" i="2"/>
  <c r="D12" i="2"/>
  <c r="AA11" i="2"/>
  <c r="Z11" i="2"/>
  <c r="Y11" i="2"/>
  <c r="X11" i="2"/>
  <c r="W11" i="2"/>
  <c r="V11" i="2"/>
  <c r="U11" i="2"/>
  <c r="T11" i="2"/>
  <c r="S11" i="2"/>
  <c r="R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AA8" i="2"/>
  <c r="Z8" i="2"/>
  <c r="Y8" i="2"/>
  <c r="X8" i="2"/>
  <c r="W8" i="2"/>
  <c r="V8" i="2"/>
  <c r="U8" i="2"/>
  <c r="T8" i="2"/>
  <c r="S8" i="2"/>
  <c r="R8" i="2"/>
  <c r="P8" i="2"/>
  <c r="O8" i="2"/>
  <c r="N8" i="2"/>
  <c r="M8" i="2"/>
  <c r="L8" i="2"/>
  <c r="K8" i="2"/>
  <c r="J8" i="2"/>
  <c r="I8" i="2"/>
  <c r="H8" i="2"/>
  <c r="G8" i="2"/>
  <c r="F8" i="2"/>
  <c r="E8" i="2"/>
  <c r="D8" i="2"/>
  <c r="AB6" i="2"/>
  <c r="O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P25" i="1"/>
  <c r="P24" i="1"/>
  <c r="AH23" i="1"/>
  <c r="AG23" i="1"/>
  <c r="AF23" i="1"/>
  <c r="P23" i="1"/>
  <c r="AH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H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P20" i="1"/>
  <c r="P19" i="1"/>
  <c r="P18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P8" i="1"/>
  <c r="P7" i="1"/>
  <c r="O7" i="1"/>
  <c r="N7" i="1"/>
  <c r="M7" i="1"/>
  <c r="L7" i="1"/>
  <c r="K7" i="1"/>
  <c r="J7" i="1"/>
  <c r="I7" i="1"/>
  <c r="H7" i="1"/>
  <c r="G7" i="1"/>
  <c r="F7" i="1"/>
  <c r="E7" i="1"/>
  <c r="D7" i="1"/>
  <c r="P6" i="1"/>
  <c r="P5" i="1"/>
  <c r="V34" i="2" l="1"/>
  <c r="AB12" i="2"/>
  <c r="U34" i="2"/>
  <c r="U35" i="2" s="1"/>
  <c r="T33" i="2"/>
  <c r="T34" i="2"/>
  <c r="S33" i="2"/>
  <c r="S24" i="2"/>
  <c r="S34" i="2" s="1"/>
  <c r="S14" i="2"/>
  <c r="O34" i="2"/>
  <c r="O35" i="2" s="1"/>
  <c r="X34" i="2"/>
  <c r="D24" i="2"/>
  <c r="D34" i="2" s="1"/>
  <c r="E24" i="2"/>
  <c r="E34" i="2" s="1"/>
  <c r="K33" i="2"/>
  <c r="L24" i="2"/>
  <c r="L34" i="2" s="1"/>
  <c r="M33" i="2"/>
  <c r="AB32" i="2"/>
  <c r="AA33" i="2"/>
  <c r="Q11" i="2"/>
  <c r="Q13" i="2"/>
  <c r="N34" i="2"/>
  <c r="AB30" i="2"/>
  <c r="R29" i="2"/>
  <c r="R23" i="2"/>
  <c r="R31" i="2"/>
  <c r="AB11" i="2"/>
  <c r="Q14" i="2"/>
  <c r="AB7" i="2"/>
  <c r="AB13" i="2" s="1"/>
  <c r="AB14" i="2" s="1"/>
  <c r="Q8" i="2"/>
  <c r="AM25" i="2"/>
  <c r="AB31" i="2"/>
  <c r="Q34" i="2"/>
  <c r="Q35" i="2" s="1"/>
  <c r="AN23" i="2"/>
  <c r="P29" i="2"/>
  <c r="P33" i="2"/>
  <c r="P34" i="2"/>
  <c r="AN25" i="2" l="1"/>
  <c r="AB29" i="2"/>
  <c r="AB28" i="2"/>
  <c r="R33" i="2"/>
  <c r="AB33" i="2" s="1"/>
  <c r="R24" i="2"/>
  <c r="AB23" i="2"/>
  <c r="AB8" i="2"/>
  <c r="P35" i="2"/>
  <c r="R34" i="2" l="1"/>
  <c r="AB24" i="2"/>
  <c r="AB34" i="2" l="1"/>
  <c r="AB35" i="2" s="1"/>
  <c r="R35" i="2"/>
</calcChain>
</file>

<file path=xl/sharedStrings.xml><?xml version="1.0" encoding="utf-8"?>
<sst xmlns="http://schemas.openxmlformats.org/spreadsheetml/2006/main" count="164" uniqueCount="44">
  <si>
    <t>[쿠팡 밀크런 비용 관련]</t>
    <phoneticPr fontId="2" type="noConversion"/>
  </si>
  <si>
    <t>로켓</t>
    <phoneticPr fontId="2" type="noConversion"/>
  </si>
  <si>
    <t>프레시</t>
    <phoneticPr fontId="2" type="noConversion"/>
  </si>
  <si>
    <t>TTL</t>
    <phoneticPr fontId="2" type="noConversion"/>
  </si>
  <si>
    <t>밀크런</t>
    <phoneticPr fontId="2" type="noConversion"/>
  </si>
  <si>
    <t>물류비율</t>
    <phoneticPr fontId="2" type="noConversion"/>
  </si>
  <si>
    <t>총매출</t>
    <phoneticPr fontId="2" type="noConversion"/>
  </si>
  <si>
    <t>구분</t>
    <phoneticPr fontId="2" type="noConversion"/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</si>
  <si>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</si>
  <si>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</si>
  <si>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</si>
  <si>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</si>
  <si>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</si>
  <si>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</si>
  <si>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</si>
  <si>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</si>
  <si>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</si>
  <si>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</si>
  <si>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  <phoneticPr fontId="2" type="noConversion"/>
  </si>
  <si>
    <t>쉽먼트</t>
    <phoneticPr fontId="2" type="noConversion"/>
  </si>
  <si>
    <t>절감액</t>
    <phoneticPr fontId="2" type="noConversion"/>
  </si>
  <si>
    <t xml:space="preserve"> * [로켓]</t>
    <phoneticPr fontId="2" type="noConversion"/>
  </si>
  <si>
    <t>- 쉽먼트 납품 횟수 증가로 인한 밀크런 비용 감소</t>
    <phoneticPr fontId="2" type="noConversion"/>
  </si>
  <si>
    <t xml:space="preserve"> * [프레시]</t>
    <phoneticPr fontId="2" type="noConversion"/>
  </si>
  <si>
    <t>- 쉽먼트 센터 감소 및 밀크런 센터 증가로 인한 비용 증가</t>
    <phoneticPr fontId="2" type="noConversion"/>
  </si>
  <si>
    <t>12월</t>
    <phoneticPr fontId="2" type="noConversion"/>
  </si>
  <si>
    <t>[밀크런/쉽먼트 이원화 비용절감]</t>
    <phoneticPr fontId="2" type="noConversion"/>
  </si>
  <si>
    <t>ONLY 밀크런</t>
  </si>
  <si>
    <t>절감액</t>
  </si>
  <si>
    <t>밀크런</t>
  </si>
  <si>
    <t>쉽먼트</t>
  </si>
  <si>
    <t>밀크럼+쉽먼트</t>
  </si>
  <si>
    <t>밀크럼+쉽먼트</t>
    <phoneticPr fontId="2" type="noConversion"/>
  </si>
  <si>
    <t>쿠팡로켓</t>
    <phoneticPr fontId="2" type="noConversion"/>
  </si>
  <si>
    <t>쿠팡프레시</t>
    <phoneticPr fontId="2" type="noConversion"/>
  </si>
  <si>
    <t>밀크런+쉽먼트</t>
    <phoneticPr fontId="2" type="noConversion"/>
  </si>
  <si>
    <t>쿠팡 TTL</t>
    <phoneticPr fontId="2" type="noConversion"/>
  </si>
  <si>
    <t>절감율(%)</t>
    <phoneticPr fontId="2" type="noConversion"/>
  </si>
  <si>
    <t>2025년</t>
    <phoneticPr fontId="2" type="noConversion"/>
  </si>
  <si>
    <t>2026년</t>
    <phoneticPr fontId="2" type="noConversion"/>
  </si>
  <si>
    <t>2026 YTD</t>
    <phoneticPr fontId="2" type="noConversion"/>
  </si>
  <si>
    <t>1. 쿠팡 밀크런 비용현황</t>
    <phoneticPr fontId="2" type="noConversion"/>
  </si>
  <si>
    <t>2. 밀크런/쉽먼트 이원화 비용절감</t>
    <phoneticPr fontId="2" type="noConversion"/>
  </si>
  <si>
    <t>6월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</si>
</sst>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 style="thin">
        <color theme="1"/>
      </left>
      <right style="thin">
        <color theme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5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10" fontId="0" fillId="0" borderId="0" xfId="0" applyNumberFormat="1">
      <alignment vertical="center"/>
    </xf>
    <xf numFmtId="41" fontId="0" fillId="0" borderId="5" xfId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1" fontId="0" fillId="0" borderId="6" xfId="1" applyFont="1" applyBorder="1">
      <alignment vertical="center"/>
    </xf>
    <xf numFmtId="41" fontId="0" fillId="0" borderId="6" xfId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0" fontId="0" fillId="0" borderId="7" xfId="2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5" xfId="1" applyFont="1" applyFill="1" applyBorder="1" applyAlignment="1">
      <alignment horizontal="center" vertical="center"/>
    </xf>
    <xf numFmtId="41" fontId="0" fillId="3" borderId="6" xfId="1" applyFont="1" applyFill="1" applyBorder="1" applyAlignment="1">
      <alignment horizontal="center" vertical="center"/>
    </xf>
    <xf numFmtId="10" fontId="0" fillId="3" borderId="7" xfId="2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41" fontId="0" fillId="3" borderId="8" xfId="1" applyFont="1" applyFill="1" applyBorder="1" applyAlignment="1">
      <alignment horizontal="center" vertical="center"/>
    </xf>
    <xf numFmtId="41" fontId="0" fillId="3" borderId="9" xfId="1" applyFont="1" applyFill="1" applyBorder="1" applyAlignment="1">
      <alignment horizontal="center" vertical="center"/>
    </xf>
    <xf numFmtId="10" fontId="0" fillId="3" borderId="10" xfId="2" applyNumberFormat="1" applyFont="1" applyFill="1" applyBorder="1" applyAlignment="1">
      <alignment horizontal="center" vertical="center"/>
    </xf>
    <xf numFmtId="9" fontId="0" fillId="0" borderId="0" xfId="2" applyFont="1">
      <alignment vertical="center"/>
    </xf>
    <xf numFmtId="41" fontId="0" fillId="0" borderId="1" xfId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10" fontId="0" fillId="0" borderId="14" xfId="2" applyNumberFormat="1" applyFont="1" applyBorder="1" applyAlignment="1">
      <alignment horizontal="center" vertical="center"/>
    </xf>
    <xf numFmtId="41" fontId="0" fillId="3" borderId="12" xfId="1" applyFont="1" applyFill="1" applyBorder="1" applyAlignment="1">
      <alignment horizontal="center" vertical="center"/>
    </xf>
    <xf numFmtId="41" fontId="0" fillId="3" borderId="13" xfId="1" applyFont="1" applyFill="1" applyBorder="1" applyAlignment="1">
      <alignment horizontal="center" vertical="center"/>
    </xf>
    <xf numFmtId="10" fontId="0" fillId="3" borderId="15" xfId="2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1" fontId="0" fillId="0" borderId="16" xfId="1" applyFont="1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0" fontId="0" fillId="0" borderId="4" xfId="0" applyBorder="1">
      <alignment vertical="center"/>
    </xf>
    <xf numFmtId="41" fontId="0" fillId="0" borderId="19" xfId="1" applyFont="1" applyBorder="1">
      <alignment vertical="center"/>
    </xf>
    <xf numFmtId="41" fontId="0" fillId="0" borderId="19" xfId="1" applyFont="1" applyBorder="1" applyAlignment="1">
      <alignment horizontal="center" vertical="center"/>
    </xf>
    <xf numFmtId="41" fontId="0" fillId="0" borderId="20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0" fillId="0" borderId="22" xfId="1" applyFont="1" applyBorder="1" applyAlignment="1">
      <alignment horizontal="center" vertical="center"/>
    </xf>
    <xf numFmtId="41" fontId="0" fillId="3" borderId="19" xfId="1" applyFont="1" applyFill="1" applyBorder="1" applyAlignment="1">
      <alignment horizontal="center" vertical="center"/>
    </xf>
    <xf numFmtId="41" fontId="0" fillId="3" borderId="20" xfId="1" applyFont="1" applyFill="1" applyBorder="1" applyAlignment="1">
      <alignment horizontal="center" vertical="center"/>
    </xf>
    <xf numFmtId="41" fontId="0" fillId="3" borderId="21" xfId="1" applyFont="1" applyFill="1" applyBorder="1" applyAlignment="1">
      <alignment horizontal="center" vertical="center"/>
    </xf>
    <xf numFmtId="41" fontId="0" fillId="3" borderId="22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4" xfId="1" applyFont="1" applyBorder="1">
      <alignment vertical="center"/>
    </xf>
    <xf numFmtId="41" fontId="0" fillId="0" borderId="24" xfId="1" applyFont="1" applyBorder="1" applyAlignment="1">
      <alignment horizontal="center" vertical="center"/>
    </xf>
    <xf numFmtId="41" fontId="0" fillId="0" borderId="25" xfId="1" applyFont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41" fontId="0" fillId="0" borderId="27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28" xfId="1" applyFont="1" applyBorder="1" applyAlignment="1">
      <alignment horizontal="center" vertical="center"/>
    </xf>
    <xf numFmtId="41" fontId="0" fillId="0" borderId="29" xfId="1" applyFont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41" fontId="0" fillId="3" borderId="24" xfId="1" applyFont="1" applyFill="1" applyBorder="1" applyAlignment="1">
      <alignment horizontal="center" vertical="center"/>
    </xf>
    <xf numFmtId="41" fontId="0" fillId="3" borderId="25" xfId="1" applyFont="1" applyFill="1" applyBorder="1" applyAlignment="1">
      <alignment horizontal="center" vertical="center"/>
    </xf>
    <xf numFmtId="41" fontId="0" fillId="3" borderId="26" xfId="1" applyFont="1" applyFill="1" applyBorder="1" applyAlignment="1">
      <alignment horizontal="center" vertical="center"/>
    </xf>
    <xf numFmtId="41" fontId="0" fillId="3" borderId="27" xfId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3" borderId="2" xfId="1" applyFont="1" applyFill="1" applyBorder="1" applyAlignment="1">
      <alignment horizontal="center" vertical="center"/>
    </xf>
    <xf numFmtId="41" fontId="0" fillId="3" borderId="28" xfId="1" applyFont="1" applyFill="1" applyBorder="1" applyAlignment="1">
      <alignment horizontal="center" vertical="center"/>
    </xf>
    <xf numFmtId="41" fontId="0" fillId="3" borderId="29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41" fontId="7" fillId="4" borderId="2" xfId="1" applyFont="1" applyFill="1" applyBorder="1" applyAlignment="1">
      <alignment horizontal="center" vertical="center"/>
    </xf>
    <xf numFmtId="41" fontId="7" fillId="4" borderId="28" xfId="1" applyFont="1" applyFill="1" applyBorder="1" applyAlignment="1">
      <alignment horizontal="center" vertical="center"/>
    </xf>
    <xf numFmtId="41" fontId="7" fillId="4" borderId="29" xfId="1" applyFont="1" applyFill="1" applyBorder="1" applyAlignment="1">
      <alignment horizontal="center" vertical="center"/>
    </xf>
    <xf numFmtId="10" fontId="0" fillId="0" borderId="30" xfId="2" applyNumberFormat="1" applyFont="1" applyBorder="1" applyAlignment="1">
      <alignment horizontal="center" vertical="center"/>
    </xf>
    <xf numFmtId="41" fontId="0" fillId="3" borderId="31" xfId="1" applyFont="1" applyFill="1" applyBorder="1" applyAlignment="1">
      <alignment horizontal="center" vertical="center"/>
    </xf>
    <xf numFmtId="41" fontId="0" fillId="3" borderId="32" xfId="1" applyFont="1" applyFill="1" applyBorder="1" applyAlignment="1">
      <alignment horizontal="center" vertical="center"/>
    </xf>
    <xf numFmtId="10" fontId="0" fillId="3" borderId="33" xfId="2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41" fontId="0" fillId="0" borderId="35" xfId="1" applyFont="1" applyBorder="1" applyAlignment="1">
      <alignment horizontal="center" vertical="center"/>
    </xf>
    <xf numFmtId="41" fontId="0" fillId="0" borderId="36" xfId="1" applyFont="1" applyBorder="1" applyAlignment="1">
      <alignment horizontal="center" vertical="center"/>
    </xf>
    <xf numFmtId="10" fontId="0" fillId="0" borderId="37" xfId="2" applyNumberFormat="1" applyFont="1" applyBorder="1" applyAlignment="1">
      <alignment horizontal="center" vertical="center"/>
    </xf>
    <xf numFmtId="41" fontId="0" fillId="3" borderId="35" xfId="1" applyFont="1" applyFill="1" applyBorder="1" applyAlignment="1">
      <alignment horizontal="center" vertical="center"/>
    </xf>
    <xf numFmtId="41" fontId="0" fillId="3" borderId="36" xfId="1" applyFont="1" applyFill="1" applyBorder="1" applyAlignment="1">
      <alignment horizontal="center" vertical="center"/>
    </xf>
    <xf numFmtId="10" fontId="0" fillId="3" borderId="38" xfId="2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9" fontId="3" fillId="0" borderId="0" xfId="2" applyFont="1">
      <alignment vertical="center"/>
    </xf>
    <xf numFmtId="10" fontId="0" fillId="0" borderId="39" xfId="2" applyNumberFormat="1" applyFont="1" applyBorder="1" applyAlignment="1">
      <alignment horizontal="center" vertical="center"/>
    </xf>
    <xf numFmtId="41" fontId="0" fillId="3" borderId="40" xfId="1" applyFont="1" applyFill="1" applyBorder="1" applyAlignment="1">
      <alignment horizontal="center" vertical="center"/>
    </xf>
    <xf numFmtId="41" fontId="0" fillId="3" borderId="41" xfId="1" applyFont="1" applyFill="1" applyBorder="1" applyAlignment="1">
      <alignment horizontal="center" vertical="center"/>
    </xf>
    <xf numFmtId="10" fontId="0" fillId="3" borderId="42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쿠팡 로켓 밀크런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'2025년'!$B$5:$C$5</c:f>
              <c:strCache>
                <c:ptCount val="2"/>
                <c:pt idx="0">
                  <c:v>로켓</c:v>
                </c:pt>
                <c:pt idx="1">
                  <c:v>총매출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'2025년'!$D$5:$O$5</c:f>
              <c:numCache>
                <c:formatCode>_(* #,##0_);_(* \(#,##0\);_(* "-"_);_(@_)</c:formatCode>
                <c:ptCount val="12"/>
                <c:pt idx="0">
                  <c:v>1640652011</c:v>
                </c:pt>
                <c:pt idx="1">
                  <c:v>1741008306</c:v>
                </c:pt>
                <c:pt idx="2">
                  <c:v>2156635104</c:v>
                </c:pt>
                <c:pt idx="3">
                  <c:v>2530843178</c:v>
                </c:pt>
                <c:pt idx="4">
                  <c:v>2398699509</c:v>
                </c:pt>
                <c:pt idx="5">
                  <c:v>2667219080</c:v>
                </c:pt>
                <c:pt idx="6">
                  <c:v>2637426758</c:v>
                </c:pt>
                <c:pt idx="7" formatCode="#,##0">
                  <c:v>2169360007</c:v>
                </c:pt>
                <c:pt idx="8">
                  <c:v>3105564815</c:v>
                </c:pt>
                <c:pt idx="9">
                  <c:v>1621443974</c:v>
                </c:pt>
                <c:pt idx="10">
                  <c:v>746215306</c:v>
                </c:pt>
                <c:pt idx="11">
                  <c:v>1804223046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6-472E-A9A3-94C8E98DE9DF}"/>
            </c:ext>
          </c:extLst>
        </c:ser>
        <c:ser>
          <c:idx val="1"/>
          <c:order val="1"/>
          <c:tx>
            <c:strRef>
              <c:f>'2025년'!$B$6:$C$6</c:f>
              <c:strCache>
                <c:ptCount val="2"/>
                <c:pt idx="0">
                  <c:v>로켓</c:v>
                </c:pt>
                <c:pt idx="1">
                  <c:v>밀크런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'2025년'!$D$6:$O$6</c:f>
              <c:numCache>
                <c:formatCode>_(* #,##0_);_(* \(#,##0\);_(* "-"_);_(@_)</c:formatCode>
                <c:ptCount val="12"/>
                <c:pt idx="0">
                  <c:v>33810250</c:v>
                </c:pt>
                <c:pt idx="1">
                  <c:v>38866700</c:v>
                </c:pt>
                <c:pt idx="2">
                  <c:v>52327500</c:v>
                </c:pt>
                <c:pt idx="3">
                  <c:v>50615550</c:v>
                </c:pt>
                <c:pt idx="4">
                  <c:v>43776650</c:v>
                </c:pt>
                <c:pt idx="5">
                  <c:v>33622300</c:v>
                </c:pt>
                <c:pt idx="6">
                  <c:v>51158450</c:v>
                </c:pt>
                <c:pt idx="7" formatCode="#,##0">
                  <c:v>37959905</c:v>
                </c:pt>
                <c:pt idx="8">
                  <c:v>36221430</c:v>
                </c:pt>
                <c:pt idx="9">
                  <c:v>17431285</c:v>
                </c:pt>
                <c:pt idx="10">
                  <c:v>12998790</c:v>
                </c:pt>
                <c:pt idx="11">
                  <c:v>16199270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6-472E-A9A3-94C8E98D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18064"/>
        <c:axId val="500818544"/>
      </c:barChart>
      <c:lineChart>
        <c:grouping val="standard"/>
        <c:varyColors val="0"/>
        <c:ser>
          <c:idx val="2"/>
          <c:order val="2"/>
          <c:tx>
            <c:strRef>
              <c:f>'2025년'!$B$7:$C$7</c:f>
              <c:strCache>
                <c:ptCount val="2"/>
                <c:pt idx="0">
                  <c:v>로켓</c:v>
                </c:pt>
                <c:pt idx="1">
                  <c:v>물류비율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'2025년'!$D$7:$O$7</c:f>
              <c:numCache>
                <c:formatCode>0.00%</c:formatCode>
                <c:ptCount val="12"/>
                <c:pt idx="0">
                  <c:v>2.0607813097057788E-2</c:v>
                </c:pt>
                <c:pt idx="1">
                  <c:v>2.2324247314647792E-2</c:v>
                </c:pt>
                <c:pt idx="2">
                  <c:v>2.4263492652487215E-2</c:v>
                </c:pt>
                <c:pt idx="3">
                  <c:v>1.9999480979299145E-2</c:v>
                </c:pt>
                <c:pt idx="4">
                  <c:v>1.8250160070383371E-2</c:v>
                </c:pt>
                <c:pt idx="5">
                  <c:v>1.2605751155619358E-2</c:v>
                </c:pt>
                <c:pt idx="6">
                  <c:v>1.939710736793852E-2</c:v>
                </c:pt>
                <c:pt idx="7">
                  <c:v>1.7498204483125238E-2</c:v>
                </c:pt>
                <c:pt idx="8">
                  <c:v>1.1663395278388354E-2</c:v>
                </c:pt>
                <c:pt idx="9">
                  <c:v>1.0750470123860104E-2</c:v>
                </c:pt>
                <c:pt idx="10">
                  <c:v>1.7419623928217845E-2</c:v>
                </c:pt>
                <c:pt idx="11">
                  <c:v>8.9785295869677078E-3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6-472E-A9A3-94C8E98D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93920"/>
        <c:axId val="521299200"/>
      </c:line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valAx>
        <c:axId val="5212992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93920"/>
        <c:crosses val="max"/>
        <c:crossBetween val="between"/>
      </c:valAx>
      <c:catAx>
        <c:axId val="521293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29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쿠팡 프레시 밀크런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'2025년'!$B$8:$C$8</c:f>
              <c:strCache>
                <c:ptCount val="2"/>
                <c:pt idx="0">
                  <c:v>프레시</c:v>
                </c:pt>
                <c:pt idx="1">
                  <c:v>총매출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'2025년'!$D$8:$O$8</c:f>
              <c:numCache>
                <c:formatCode>_(* #,##0_);_(* \(#,##0\);_(* "-"_);_(@_)</c:formatCode>
                <c:ptCount val="12"/>
                <c:pt idx="0">
                  <c:v>1252005921</c:v>
                </c:pt>
                <c:pt idx="1">
                  <c:v>1222168620</c:v>
                </c:pt>
                <c:pt idx="2">
                  <c:v>1551240140</c:v>
                </c:pt>
                <c:pt idx="3">
                  <c:v>1540711742</c:v>
                </c:pt>
                <c:pt idx="4">
                  <c:v>2005928033</c:v>
                </c:pt>
                <c:pt idx="5">
                  <c:v>1774416514</c:v>
                </c:pt>
                <c:pt idx="6">
                  <c:v>2028261361</c:v>
                </c:pt>
                <c:pt idx="7">
                  <c:v>2082837338</c:v>
                </c:pt>
                <c:pt idx="8">
                  <c:v>2001521951</c:v>
                </c:pt>
                <c:pt idx="9">
                  <c:v>1476514959</c:v>
                </c:pt>
                <c:pt idx="10">
                  <c:v>1341905442</c:v>
                </c:pt>
                <c:pt idx="11">
                  <c:v>1323273822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DB1-BBFB-BA9B9703A2F8}"/>
            </c:ext>
          </c:extLst>
        </c:ser>
        <c:ser>
          <c:idx val="1"/>
          <c:order val="1"/>
          <c:tx>
            <c:strRef>
              <c:f>'2025년'!$B$9:$C$9</c:f>
              <c:strCache>
                <c:ptCount val="2"/>
                <c:pt idx="0">
                  <c:v>프레시</c:v>
                </c:pt>
                <c:pt idx="1">
                  <c:v>밀크런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'2025년'!$D$9:$O$9</c:f>
              <c:numCache>
                <c:formatCode>_(* #,##0_);_(* \(#,##0\);_(* "-"_);_(@_)</c:formatCode>
                <c:ptCount val="12"/>
                <c:pt idx="0">
                  <c:v>9162000</c:v>
                </c:pt>
                <c:pt idx="1">
                  <c:v>6438000</c:v>
                </c:pt>
                <c:pt idx="2">
                  <c:v>7431000</c:v>
                </c:pt>
                <c:pt idx="3">
                  <c:v>12872000</c:v>
                </c:pt>
                <c:pt idx="4">
                  <c:v>14916000</c:v>
                </c:pt>
                <c:pt idx="5">
                  <c:v>19897000</c:v>
                </c:pt>
                <c:pt idx="6">
                  <c:v>34652000</c:v>
                </c:pt>
                <c:pt idx="7">
                  <c:v>40966000</c:v>
                </c:pt>
                <c:pt idx="8">
                  <c:v>45525000</c:v>
                </c:pt>
                <c:pt idx="9">
                  <c:v>20355000</c:v>
                </c:pt>
                <c:pt idx="10">
                  <c:v>6924000</c:v>
                </c:pt>
                <c:pt idx="11">
                  <c:v>17680000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C-4DB1-BBFB-BA9B9703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18064"/>
        <c:axId val="500818544"/>
      </c:barChart>
      <c:lineChart>
        <c:grouping val="standard"/>
        <c:varyColors val="0"/>
        <c:ser>
          <c:idx val="2"/>
          <c:order val="2"/>
          <c:tx>
            <c:strRef>
              <c:f>'2025년'!$B$10:$C$10</c:f>
              <c:strCache>
                <c:ptCount val="2"/>
                <c:pt idx="0">
                  <c:v>프레시</c:v>
                </c:pt>
                <c:pt idx="1">
                  <c:v>물류비율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'2025년'!$D$4:$O$4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'2025년'!$D$10:$O$10</c:f>
              <c:numCache>
                <c:formatCode>0.00%</c:formatCode>
                <c:ptCount val="12"/>
                <c:pt idx="0">
                  <c:v>7.3178567659505506E-3</c:v>
                </c:pt>
                <c:pt idx="1">
                  <c:v>5.2676855669882934E-3</c:v>
                </c:pt>
                <c:pt idx="2">
                  <c:v>4.7903608270477068E-3</c:v>
                </c:pt>
                <c:pt idx="3">
                  <c:v>8.3545803209696054E-3</c:v>
                </c:pt>
                <c:pt idx="4">
                  <c:v>7.4359596927772728E-3</c:v>
                </c:pt>
                <c:pt idx="5">
                  <c:v>1.1213263539318029E-2</c:v>
                </c:pt>
                <c:pt idx="6">
                  <c:v>1.7084583213139461E-2</c:v>
                </c:pt>
                <c:pt idx="7">
                  <c:v>1.9668362599710606E-2</c:v>
                </c:pt>
                <c:pt idx="8">
                  <c:v>2.2745191466551146E-2</c:v>
                </c:pt>
                <c:pt idx="9">
                  <c:v>1.378584068920361E-2</c:v>
                </c:pt>
                <c:pt idx="10">
                  <c:v>5.1598270513608961E-3</c:v>
                </c:pt>
                <c:pt idx="11">
                  <c:v>1.3360802357049877E-2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8C-4DB1-BBFB-BA9B9703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93920"/>
        <c:axId val="521299200"/>
      </c:line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valAx>
        <c:axId val="5212992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93920"/>
        <c:crosses val="max"/>
        <c:crossBetween val="between"/>
      </c:valAx>
      <c:catAx>
        <c:axId val="521293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29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밀크런</a:t>
            </a:r>
            <a:r>
              <a:rPr lang="en-US" altLang="ko-KR" sz="1400" b="1">
                <a:solidFill>
                  <a:schemeClr val="bg1"/>
                </a:solidFill>
              </a:rPr>
              <a:t>&amp;</a:t>
            </a:r>
            <a:r>
              <a:rPr lang="ko-KR" altLang="en-US" sz="1400" b="1">
                <a:solidFill>
                  <a:schemeClr val="bg1"/>
                </a:solidFill>
              </a:rPr>
              <a:t>쉽먼트 이원화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'2025년'!$C$28</c:f>
              <c:strCache>
                <c:ptCount val="1"/>
                <c:pt idx="0">
                  <c:v>ONLY 밀크런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'2025년'!$D$17:$O$17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'2025년'!$D$28:$O$28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69149990.909090906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8B-4572-A916-1B5BCE2D974B}"/>
            </c:ext>
          </c:extLst>
        </c:ser>
        <c:ser>
          <c:idx val="13"/>
          <c:order val="13"/>
          <c:tx>
            <c:strRef>
              <c:f>'2025년'!$C$31</c:f>
              <c:strCache>
                <c:ptCount val="1"/>
                <c:pt idx="0">
                  <c:v>밀크럼+쉽먼트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'2025년'!$D$17:$O$17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'2025년'!$D$31:$O$31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52513070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D8B-4572-A916-1B5BCE2D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18064"/>
        <c:axId val="500818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'2025년'!$B$18:$C$18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ONLY 밀크런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'2025년'!$D$18:$O$18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39196900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D8B-4572-A916-1B5BCE2D97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'2025년'!$B$19:$C$19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밀크런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'2025년'!$D$19:$O$19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16199270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D8B-4572-A916-1B5BCE2D97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'2025년'!$B$20:$C$20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쉽먼트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'2025년'!$D$20:$O$20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9630000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8B-4572-A916-1B5BCE2D974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'2025년'!$B$21:$C$21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밀크럼+쉽먼트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'2025년'!$D$21:$O$21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25829270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D8B-4572-A916-1B5BCE2D97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'2025년'!$B$22:$C$22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'2025년'!$D$22:$O$22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-13367630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8B-4572-A916-1B5BCE2D974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'2025년'!$B$23:$C$23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ONLY 밀크런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'2025년'!$D$23:$O$23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29953090.90909091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8B-4572-A916-1B5BCE2D974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'2025년'!$B$24:$C$24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밀크런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'2025년'!$D$24:$O$24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17680000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8B-4572-A916-1B5BCE2D974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'2025년'!$B$25:$C$25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쉽먼트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'2025년'!$D$25:$O$25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9003800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8B-4572-A916-1B5BCE2D974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'2025년'!$B$26:$C$26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밀크럼+쉽먼트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'2025년'!$D$26:$O$26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26683800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8B-4572-A916-1B5BCE2D974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'2025년'!$B$27:$C$27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'2025년'!$D$27:$O$27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-3269290.9090909101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8B-4572-A916-1B5BCE2D974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'2025년'!$B$32:$C$32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'2025년'!$D$32:$O$32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-16636920.90909091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D8B-4572-A916-1B5BCE2D974B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293920"/>
        <c:axId val="521299200"/>
        <c:extLst>
          <c:ext xmlns:c15="http://schemas.microsoft.com/office/drawing/2012/chart" uri="{02D57815-91ED-43cb-92C2-25804820EDAC}"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'2025년'!$B$29:$C$29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밀크런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'2025년'!$D$29:$O$29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33879270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ED8B-4572-A916-1B5BCE2D974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'2025년'!$B$30:$C$30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쉽먼트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'2025년'!$D$17:$O$17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'2025년'!$D$30:$O$30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18633800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D8B-4572-A916-1B5BCE2D974B}"/>
                  </c:ext>
                </c:extLst>
              </c15:ser>
            </c15:filteredBarSeries>
          </c:ext>
        </c:extLst>
      </c:bar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valAx>
        <c:axId val="521299200"/>
        <c:scaling>
          <c:orientation val="minMax"/>
        </c:scaling>
        <c:delete val="1"/>
        <c:axPos val="r"/>
        <c:numFmt formatCode="_(* #,##0_);_(* \(#,##0\);_(* &quot;-&quot;_);_(@_)" sourceLinked="1"/>
        <c:majorTickMark val="none"/>
        <c:minorTickMark val="none"/>
        <c:tickLblPos val="nextTo"/>
        <c:crossAx val="521293920"/>
        <c:crosses val="max"/>
        <c:crossBetween val="between"/>
      </c:valAx>
      <c:catAx>
        <c:axId val="521293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29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bg1"/>
                </a:solidFill>
              </a:rPr>
              <a:t>25/12</a:t>
            </a:r>
            <a:r>
              <a:rPr lang="ko-KR" altLang="en-US" sz="1400" b="1">
                <a:solidFill>
                  <a:schemeClr val="bg1"/>
                </a:solidFill>
              </a:rPr>
              <a:t>월 밀크런 비용절감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'2025년'!$AF$20</c:f>
              <c:strCache>
                <c:ptCount val="1"/>
                <c:pt idx="0">
                  <c:v>ONLY 밀크런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'2025년'!$AE$21:$AE$23</c:f>
              <c:strCache>
                <c:ptCount val="3"/>
                <c:pt idx="0">
                  <c:v>쿠팡로켓</c:v>
                </c:pt>
                <c:pt idx="1">
                  <c:v>쿠팡프레시</c:v>
                </c:pt>
                <c:pt idx="2">
                  <c:v>쿠팡 TTL</c:v>
                </c:pt>
              </c:strCache>
            </c:strRef>
          </c:cat>
          <c:val>
            <c:numRef>
              <c:f>'2025년'!$AF$21:$AF$23</c:f>
              <c:numCache>
                <c:formatCode>_(* #,##0_);_(* \(#,##0\);_(* "-"_);_(@_)</c:formatCode>
                <c:ptCount val="3"/>
                <c:pt idx="0">
                  <c:v>39196900</c:v>
                </c:pt>
                <c:pt idx="1">
                  <c:v>29953090.90909091</c:v>
                </c:pt>
                <c:pt idx="2">
                  <c:v>69149990.909090906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3-4090-87BB-27E835CC28E6}"/>
            </c:ext>
          </c:extLst>
        </c:ser>
        <c:ser>
          <c:idx val="1"/>
          <c:order val="1"/>
          <c:tx>
            <c:strRef>
              <c:f>'2025년'!$AG$20</c:f>
              <c:strCache>
                <c:ptCount val="1"/>
                <c:pt idx="0">
                  <c:v>밀크런+쉽먼트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'2025년'!$AE$21:$AE$23</c:f>
              <c:strCache>
                <c:ptCount val="3"/>
                <c:pt idx="0">
                  <c:v>쿠팡로켓</c:v>
                </c:pt>
                <c:pt idx="1">
                  <c:v>쿠팡프레시</c:v>
                </c:pt>
                <c:pt idx="2">
                  <c:v>쿠팡 TTL</c:v>
                </c:pt>
              </c:strCache>
            </c:strRef>
          </c:cat>
          <c:val>
            <c:numRef>
              <c:f>'2025년'!$AG$21:$AG$23</c:f>
              <c:numCache>
                <c:formatCode>_(* #,##0_);_(* \(#,##0\);_(* "-"_);_(@_)</c:formatCode>
                <c:ptCount val="3"/>
                <c:pt idx="0">
                  <c:v>25829270</c:v>
                </c:pt>
                <c:pt idx="1">
                  <c:v>26683800</c:v>
                </c:pt>
                <c:pt idx="2">
                  <c:v>52513070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3-4090-87BB-27E835CC2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341056"/>
        <c:axId val="689344896"/>
      </c:barChart>
      <c:catAx>
        <c:axId val="6893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9344896"/>
        <c:crosses val="autoZero"/>
        <c:auto val="1"/>
        <c:lblAlgn val="ctr"/>
        <c:lblOffset val="100"/>
        <c:noMultiLvlLbl val="0"/>
      </c:catAx>
      <c:valAx>
        <c:axId val="68934489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93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쿠팡 로켓 밀크런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'2026년'!$B$6:$C$6</c:f>
              <c:strCache>
                <c:ptCount val="2"/>
                <c:pt idx="0">
                  <c:v>로켓</c:v>
                </c:pt>
                <c:pt idx="1">
                  <c:v>총매출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'2026년'!$D$4:$AA$5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'2026년'!$D$6:$AA$6</c:f>
              <c:numCache>
                <c:formatCode>_(* #,##0_);_(* \(#,##0\);_(* "-"_);_(@_)</c:formatCode>
                <c:ptCount val="24"/>
                <c:pt idx="0">
                  <c:v>1640652011</c:v>
                </c:pt>
                <c:pt idx="1">
                  <c:v>1741008306</c:v>
                </c:pt>
                <c:pt idx="2">
                  <c:v>2156635104</c:v>
                </c:pt>
                <c:pt idx="3">
                  <c:v>2530843178</c:v>
                </c:pt>
                <c:pt idx="4">
                  <c:v>2398699509</c:v>
                </c:pt>
                <c:pt idx="5">
                  <c:v>2667219080</c:v>
                </c:pt>
                <c:pt idx="6">
                  <c:v>2637426758</c:v>
                </c:pt>
                <c:pt idx="7" formatCode="#,##0">
                  <c:v>2169360007</c:v>
                </c:pt>
                <c:pt idx="8">
                  <c:v>3105564815</c:v>
                </c:pt>
                <c:pt idx="9">
                  <c:v>1621443974</c:v>
                </c:pt>
                <c:pt idx="10">
                  <c:v>746215306</c:v>
                </c:pt>
                <c:pt idx="11">
                  <c:v>1804223046</c:v>
                </c:pt>
                <c:pt idx="12">
                  <c:v>2447466737</c:v>
                </c:pt>
                <c:pt idx="13">
                  <c:v>1674213567</c:v>
                </c:pt>
                <c:pt idx="14">
                  <c:v>1907300958</c:v>
                </c:pt>
                <c:pt idx="15">
                  <c:v>2349855331</c:v>
                </c:pt>
                <c:pt idx="16">
                  <c:v>2609565928</c:v>
                </c:pt>
                <c:pt idx="17">
                  <c:v>2232552430</c:v>
                </c:pt>
                <c:pt idx="18">
                  <c:v>2581068673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4-4A8B-BD9F-60BD78802DDB}"/>
            </c:ext>
          </c:extLst>
        </c:ser>
        <c:ser>
          <c:idx val="1"/>
          <c:order val="1"/>
          <c:tx>
            <c:strRef>
              <c:f>'2026년'!$B$7:$C$7</c:f>
              <c:strCache>
                <c:ptCount val="2"/>
                <c:pt idx="0">
                  <c:v>로켓</c:v>
                </c:pt>
                <c:pt idx="1">
                  <c:v>밀크런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'2026년'!$D$4:$AA$5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'2026년'!$D$7:$AA$7</c:f>
              <c:numCache>
                <c:formatCode>_(* #,##0_);_(* \(#,##0\);_(* "-"_);_(@_)</c:formatCode>
                <c:ptCount val="24"/>
                <c:pt idx="0">
                  <c:v>33810250</c:v>
                </c:pt>
                <c:pt idx="1">
                  <c:v>38866700</c:v>
                </c:pt>
                <c:pt idx="2">
                  <c:v>52327500</c:v>
                </c:pt>
                <c:pt idx="3">
                  <c:v>50615550</c:v>
                </c:pt>
                <c:pt idx="4">
                  <c:v>43776650</c:v>
                </c:pt>
                <c:pt idx="5">
                  <c:v>33622300</c:v>
                </c:pt>
                <c:pt idx="6">
                  <c:v>51158450</c:v>
                </c:pt>
                <c:pt idx="7" formatCode="#,##0">
                  <c:v>37959905</c:v>
                </c:pt>
                <c:pt idx="8">
                  <c:v>36221430</c:v>
                </c:pt>
                <c:pt idx="9">
                  <c:v>17431285</c:v>
                </c:pt>
                <c:pt idx="10">
                  <c:v>12998790</c:v>
                </c:pt>
                <c:pt idx="11">
                  <c:v>16199270</c:v>
                </c:pt>
                <c:pt idx="12">
                  <c:v>13349500</c:v>
                </c:pt>
                <c:pt idx="13">
                  <c:v>10386205</c:v>
                </c:pt>
                <c:pt idx="14">
                  <c:v>10696125</c:v>
                </c:pt>
                <c:pt idx="15">
                  <c:v>7149765</c:v>
                </c:pt>
                <c:pt idx="16">
                  <c:v>5217190</c:v>
                </c:pt>
                <c:pt idx="17">
                  <c:v>5499750</c:v>
                </c:pt>
                <c:pt idx="18">
                  <c:v>7046580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4-4A8B-BD9F-60BD7880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18064"/>
        <c:axId val="500818544"/>
      </c:barChart>
      <c:lineChart>
        <c:grouping val="standard"/>
        <c:varyColors val="0"/>
        <c:ser>
          <c:idx val="2"/>
          <c:order val="2"/>
          <c:tx>
            <c:strRef>
              <c:f>'2026년'!$B$8:$C$8</c:f>
              <c:strCache>
                <c:ptCount val="2"/>
                <c:pt idx="0">
                  <c:v>로켓</c:v>
                </c:pt>
                <c:pt idx="1">
                  <c:v>물류비율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'2026년'!$D$5:$AA$5</c:f>
              <c:strCache>
                <c:ptCount val="2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  <c:pt idx="16">
                  <c:v>5월</c:v>
                </c:pt>
                <c:pt idx="17">
                  <c:v>6월</c:v>
                </c:pt>
                <c:pt idx="18">
                  <c:v>7월</c:v>
                </c:pt>
                <c:pt idx="19">
                  <c:v>8월</c:v>
                </c:pt>
                <c:pt idx="20">
                  <c:v>9월</c:v>
                </c:pt>
                <c:pt idx="21">
                  <c:v>10월</c:v>
                </c:pt>
                <c:pt idx="22">
                  <c:v>11월</c:v>
                </c:pt>
                <c:pt idx="23">
                  <c:v>12월</c:v>
                </c:pt>
              </c:strCache>
            </c:strRef>
          </c:cat>
          <c:val>
            <c:numRef>
              <c:f>'2026년'!$D$8:$AA$8</c:f>
              <c:numCache>
                <c:formatCode>0.00%</c:formatCode>
                <c:ptCount val="24"/>
                <c:pt idx="0">
                  <c:v>2.0607813097057788E-2</c:v>
                </c:pt>
                <c:pt idx="1">
                  <c:v>2.2324247314647792E-2</c:v>
                </c:pt>
                <c:pt idx="2">
                  <c:v>2.4263492652487215E-2</c:v>
                </c:pt>
                <c:pt idx="3">
                  <c:v>1.9999480979299145E-2</c:v>
                </c:pt>
                <c:pt idx="4">
                  <c:v>1.8250160070383371E-2</c:v>
                </c:pt>
                <c:pt idx="5">
                  <c:v>1.2605751155619358E-2</c:v>
                </c:pt>
                <c:pt idx="6">
                  <c:v>1.939710736793852E-2</c:v>
                </c:pt>
                <c:pt idx="7">
                  <c:v>1.7498204483125238E-2</c:v>
                </c:pt>
                <c:pt idx="8">
                  <c:v>1.1663395278388354E-2</c:v>
                </c:pt>
                <c:pt idx="9">
                  <c:v>1.0750470123860104E-2</c:v>
                </c:pt>
                <c:pt idx="10">
                  <c:v>1.7419623928217845E-2</c:v>
                </c:pt>
                <c:pt idx="11">
                  <c:v>8.9785295869677078E-3</c:v>
                </c:pt>
                <c:pt idx="12">
                  <c:v>5.4544152932444944E-3</c:v>
                </c:pt>
                <c:pt idx="13">
                  <c:v>6.2036320841736435E-3</c:v>
                </c:pt>
                <c:pt idx="14">
                  <c:v>5.6079901575763801E-3</c:v>
                </c:pt>
                <c:pt idx="15">
                  <c:v>3.0426405003227833E-3</c:v>
                </c:pt>
                <c:pt idx="16">
                  <c:v>1.9992558701126635E-3</c:v>
                </c:pt>
                <c:pt idx="17">
                  <c:v>2.4634359874809299E-3</c:v>
                </c:pt>
                <c:pt idx="18">
                  <c:v>2.7301017108582759E-3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14-4A8B-BD9F-60BD7880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93920"/>
        <c:axId val="521299200"/>
      </c:line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valAx>
        <c:axId val="5212992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93920"/>
        <c:crosses val="max"/>
        <c:crossBetween val="between"/>
      </c:valAx>
      <c:catAx>
        <c:axId val="521293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29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밀크런</a:t>
            </a:r>
            <a:r>
              <a:rPr lang="en-US" altLang="ko-KR" sz="1400" b="1">
                <a:solidFill>
                  <a:schemeClr val="bg1"/>
                </a:solidFill>
              </a:rPr>
              <a:t>&amp;</a:t>
            </a:r>
            <a:r>
              <a:rPr lang="ko-KR" altLang="en-US" sz="1400" b="1">
                <a:solidFill>
                  <a:schemeClr val="bg1"/>
                </a:solidFill>
              </a:rPr>
              <a:t>쉽먼트 이원화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0"/>
          <c:order val="25"/>
          <c:tx>
            <c:strRef>
              <c:f>'2026년'!$C$30</c:f>
              <c:strCache>
                <c:ptCount val="1"/>
                <c:pt idx="0">
                  <c:v>ONLY 밀크런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'2026년'!$D$18:$AA$19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'2026년'!$D$30:$AA$30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69149990.909090906</c:v>
                </c:pt>
                <c:pt idx="12">
                  <c:v>62092800</c:v>
                </c:pt>
                <c:pt idx="13">
                  <c:v>75266100</c:v>
                </c:pt>
                <c:pt idx="14">
                  <c:v>71664200</c:v>
                </c:pt>
                <c:pt idx="15">
                  <c:v>97105200</c:v>
                </c:pt>
                <c:pt idx="16">
                  <c:v>97851200</c:v>
                </c:pt>
                <c:pt idx="17">
                  <c:v>94761100</c:v>
                </c:pt>
                <c:pt idx="18">
                  <c:v>90280600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9-48AF-A4E6-D5CCB76BE47E}"/>
            </c:ext>
          </c:extLst>
        </c:ser>
        <c:ser>
          <c:idx val="13"/>
          <c:order val="26"/>
          <c:tx>
            <c:strRef>
              <c:f>'2026년'!$C$33</c:f>
              <c:strCache>
                <c:ptCount val="1"/>
                <c:pt idx="0">
                  <c:v>밀크럼+쉽먼트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'2026년'!$D$18:$AA$19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'2026년'!$D$33:$AA$33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52513070</c:v>
                </c:pt>
                <c:pt idx="12">
                  <c:v>49560000</c:v>
                </c:pt>
                <c:pt idx="13">
                  <c:v>54847005</c:v>
                </c:pt>
                <c:pt idx="14">
                  <c:v>52582025</c:v>
                </c:pt>
                <c:pt idx="15">
                  <c:v>65829087</c:v>
                </c:pt>
                <c:pt idx="16">
                  <c:v>63737446</c:v>
                </c:pt>
                <c:pt idx="17">
                  <c:v>57535341</c:v>
                </c:pt>
                <c:pt idx="18">
                  <c:v>61703929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9-48AF-A4E6-D5CCB76BE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18064"/>
        <c:axId val="500818544"/>
        <c:extLst>
          <c:ext xmlns:c15="http://schemas.microsoft.com/office/drawing/2012/chart" uri="{02D57815-91ED-43cb-92C2-25804820EDAC}">
            <c15:filteredBarSeries>
              <c15:ser>
                <c:idx val="15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'2026년'!$B$20:$C$20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ONLY 밀크런</c:v>
                      </c:pt>
                    </c:strCache>
                  </c:strRef>
                </c:tx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'2026년'!$D$20:$O$20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39196900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EC79-48AF-A4E6-D5CCB76BE47E}"/>
                  </c:ext>
                </c:extLst>
              </c15:ser>
            </c15:filteredBarSeries>
            <c15:filteredBarSeries>
              <c15:ser>
                <c:idx val="1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'2026년'!$B$21:$C$21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밀크런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'2026년'!$D$21:$O$21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16199270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EC79-48AF-A4E6-D5CCB76BE47E}"/>
                  </c:ext>
                </c:extLst>
              </c15:ser>
            </c15:filteredBarSeries>
            <c15:filteredBarSeries>
              <c15:ser>
                <c:idx val="17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'2026년'!$B$22:$C$22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쉽먼트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'2026년'!$D$22:$O$22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9630000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EC79-48AF-A4E6-D5CCB76BE47E}"/>
                  </c:ext>
                </c:extLst>
              </c15:ser>
            </c15:filteredBarSeries>
            <c15:filteredBarSeries>
              <c15:ser>
                <c:idx val="18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'2026년'!$B$23:$C$23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밀크럼+쉽먼트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'2026년'!$D$23:$O$23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25829270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EC79-48AF-A4E6-D5CCB76BE47E}"/>
                  </c:ext>
                </c:extLst>
              </c15:ser>
            </c15:filteredBarSeries>
            <c15:filteredBarSeries>
              <c15:ser>
                <c:idx val="19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'2026년'!$B$24:$C$24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절감액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'2026년'!$D$24:$O$24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-13367630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EC79-48AF-A4E6-D5CCB76BE47E}"/>
                  </c:ext>
                </c:extLst>
              </c15:ser>
            </c15:filteredBarSeries>
            <c15:filteredBarSeries>
              <c15:ser>
                <c:idx val="20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'2026년'!$B$25:$C$25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ONLY 밀크런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'2026년'!$D$25:$O$25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29953090.90909091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EC79-48AF-A4E6-D5CCB76BE47E}"/>
                  </c:ext>
                </c:extLst>
              </c15:ser>
            </c15:filteredBarSeries>
            <c15:filteredBarSeries>
              <c15:ser>
                <c:idx val="21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'2026년'!$B$26:$C$26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밀크런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'2026년'!$D$26:$O$26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17680000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EC79-48AF-A4E6-D5CCB76BE47E}"/>
                  </c:ext>
                </c:extLst>
              </c15:ser>
            </c15:filteredBarSeries>
            <c15:filteredBarSeries>
              <c15:ser>
                <c:idx val="2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'2026년'!$B$27:$C$27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쉽먼트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'2026년'!$D$27:$O$27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9003800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EC79-48AF-A4E6-D5CCB76BE47E}"/>
                  </c:ext>
                </c:extLst>
              </c15:ser>
            </c15:filteredBarSeries>
            <c15:filteredBarSeries>
              <c15:ser>
                <c:idx val="2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'2026년'!$B$28:$C$28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밀크럼+쉽먼트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'2026년'!$D$28:$O$28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26683800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EC79-48AF-A4E6-D5CCB76BE47E}"/>
                  </c:ext>
                </c:extLst>
              </c15:ser>
            </c15:filteredBarSeries>
            <c15:filteredBarSeries>
              <c15:ser>
                <c:idx val="24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'2026년'!$B$29:$C$29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절감액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'2026년'!$D$29:$O$29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-3269290.9090909101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EC79-48AF-A4E6-D5CCB76BE47E}"/>
                  </c:ext>
                </c:extLst>
              </c15:ser>
            </c15:filteredBarSeries>
            <c15:filteredBarSeries>
              <c15:ser>
                <c:idx val="2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'2026년'!$C$30</c15:sqref>
                        </c15:formulaRef>
                      </c:ext>
                    </c:extLst>
                    <c:strCache>
                      <c:ptCount val="1"/>
                      <c:pt idx="0">
                        <c:v>ONLY 밀크런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'2026년'!$D$30:$AA$30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69149990.909090906</c:v>
                      </c:pt>
                      <c:pt idx="12">
                        <c:v>62092800</c:v>
                      </c:pt>
                      <c:pt idx="13">
                        <c:v>75266100</c:v>
                      </c:pt>
                      <c:pt idx="14">
                        <c:v>71664200</c:v>
                      </c:pt>
                      <c:pt idx="15">
                        <c:v>97105200</c:v>
                      </c:pt>
                      <c:pt idx="16">
                        <c:v>97851200</c:v>
                      </c:pt>
                      <c:pt idx="17">
                        <c:v>94761100</c:v>
                      </c:pt>
                      <c:pt idx="18">
                        <c:v>90280600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EC79-48AF-A4E6-D5CCB76BE47E}"/>
                  </c:ext>
                </c:extLst>
              </c15:ser>
            </c15:filteredBarSeries>
            <c15:filteredBarSeries>
              <c15:ser>
                <c:idx val="26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'2026년'!$C$33</c15:sqref>
                        </c15:formulaRef>
                      </c:ext>
                    </c:extLst>
                    <c:strCache>
                      <c:ptCount val="1"/>
                      <c:pt idx="0">
                        <c:v>밀크럼+쉽먼트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'2026년'!$D$33:$O$33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52513070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EC79-48AF-A4E6-D5CCB76BE47E}"/>
                  </c:ext>
                </c:extLst>
              </c15:ser>
            </c15:filteredBarSeries>
            <c15:filteredBarSeries>
              <c15:ser>
                <c:idx val="27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'2026년'!$B$34:$C$34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절감액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'2026년'!$D$34:$O$34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-16636920.90909091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EC79-48AF-A4E6-D5CCB76BE47E}"/>
                  </c:ext>
                </c:extLst>
              </c15:ser>
            </c15:filteredBarSeries>
            <c15:filteredBarSeries>
              <c15:ser>
                <c:idx val="28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'2026년'!$B$31:$C$31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밀크런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'2026년'!$D$19:$O$19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'2026년'!$D$31:$O$31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33879270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EC79-48AF-A4E6-D5CCB76BE47E}"/>
                  </c:ext>
                </c:extLst>
              </c15:ser>
            </c15:filteredBarSeries>
            <c15:filteredBarSeries>
              <c15:ser>
                <c:idx val="29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'2026년'!$B$32:$C$32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쉽먼트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'2026년'!$D$19:$O$19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'2026년'!$D$32:$O$32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18633800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EC79-48AF-A4E6-D5CCB76BE47E}"/>
                  </c:ext>
                </c:extLst>
              </c15:ser>
            </c15:filteredBarSeries>
            <c15:filteredBarSeries>
              <c15:ser>
                <c:idx val="0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'2026년'!$B$20:$C$20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ONLY 밀크런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'2026년'!$D$20:$O$20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39196900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79-48AF-A4E6-D5CCB76BE47E}"/>
                  </c:ext>
                </c:extLst>
              </c15:ser>
            </c15:filteredBarSeries>
            <c15:filteredBarSeries>
              <c15:ser>
                <c:idx val="1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'2026년'!$B$21:$C$21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밀크런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'2026년'!$D$21:$O$21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16199270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79-48AF-A4E6-D5CCB76BE47E}"/>
                  </c:ext>
                </c:extLst>
              </c15:ser>
            </c15:filteredBarSeries>
            <c15:filteredBarSeries>
              <c15:ser>
                <c:idx val="2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'2026년'!$B$22:$C$22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쉽먼트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'2026년'!$D$22:$O$22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9630000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79-48AF-A4E6-D5CCB76BE47E}"/>
                  </c:ext>
                </c:extLst>
              </c15:ser>
            </c15:filteredBarSeries>
            <c15:filteredBarSeries>
              <c15:ser>
                <c:idx val="3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'2026년'!$B$23:$C$23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밀크럼+쉽먼트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'2026년'!$D$23:$O$23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25829270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C79-48AF-A4E6-D5CCB76BE47E}"/>
                  </c:ext>
                </c:extLst>
              </c15:ser>
            </c15:filteredBarSeries>
            <c15:filteredBarSeries>
              <c15:ser>
                <c:idx val="4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'2026년'!$B$24:$C$24</c15:sqref>
                        </c15:formulaRef>
                      </c:ext>
                    </c:extLst>
                    <c:strCache>
                      <c:ptCount val="2"/>
                      <c:pt idx="0">
                        <c:v>로켓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'2026년'!$D$24:$O$24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-13367630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C79-48AF-A4E6-D5CCB76BE47E}"/>
                  </c:ext>
                </c:extLst>
              </c15:ser>
            </c15:filteredBarSeries>
            <c15:filteredBarSeries>
              <c15:ser>
                <c:idx val="5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'2026년'!$B$25:$C$25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ONLY 밀크런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'2026년'!$D$25:$O$25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29953090.90909091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C79-48AF-A4E6-D5CCB76BE47E}"/>
                  </c:ext>
                </c:extLst>
              </c15:ser>
            </c15:filteredBarSeries>
            <c15:filteredBarSeries>
              <c15:ser>
                <c:idx val="6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'2026년'!$B$26:$C$26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밀크런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'2026년'!$D$26:$O$26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17680000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C79-48AF-A4E6-D5CCB76BE47E}"/>
                  </c:ext>
                </c:extLst>
              </c15:ser>
            </c15:filteredBarSeries>
            <c15:filteredBarSeries>
              <c15:ser>
                <c:idx val="7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'2026년'!$B$27:$C$27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쉽먼트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'2026년'!$D$27:$O$27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11">
                        <c:v>9003800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C79-48AF-A4E6-D5CCB76BE47E}"/>
                  </c:ext>
                </c:extLst>
              </c15:ser>
            </c15:filteredBarSeries>
            <c15:filteredBarSeries>
              <c15:ser>
                <c:idx val="8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'2026년'!$B$28:$C$28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밀크럼+쉽먼트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'2026년'!$D$28:$O$28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26683800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C79-48AF-A4E6-D5CCB76BE47E}"/>
                  </c:ext>
                </c:extLst>
              </c15:ser>
            </c15:filteredBarSeries>
            <c15:filteredBarSeries>
              <c15:ser>
                <c:idx val="9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'2026년'!$B$29:$C$29</c15:sqref>
                        </c15:formulaRef>
                      </c:ext>
                    </c:extLst>
                    <c:strCache>
                      <c:ptCount val="2"/>
                      <c:pt idx="0">
                        <c:v>프레시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'2026년'!$D$29:$O$29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-3269290.9090909101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C79-48AF-A4E6-D5CCB76BE47E}"/>
                  </c:ext>
                </c:extLst>
              </c15:ser>
            </c15:filteredBarSeries>
            <c15:filteredBarSeries>
              <c15:ser>
                <c:idx val="14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'2026년'!$B$34:$C$34</c15:sqref>
                        </c15:formulaRef>
                      </c:ext>
                    </c:extLst>
                    <c:strCache>
                      <c:ptCount val="2"/>
                      <c:pt idx="0">
                        <c:v>TTL</c:v>
                      </c:pt>
                      <c:pt idx="1">
                        <c:v>절감액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'2026년'!$D$18:$AA$19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  <c:pt idx="12">
                          <c:v>1월</c:v>
                        </c:pt>
                        <c:pt idx="13">
                          <c:v>2월</c:v>
                        </c:pt>
                        <c:pt idx="14">
                          <c:v>3월</c:v>
                        </c:pt>
                        <c:pt idx="15">
                          <c:v>4월</c:v>
                        </c:pt>
                        <c:pt idx="16">
                          <c:v>5월</c:v>
                        </c:pt>
                        <c:pt idx="17">
                          <c:v>6월</c:v>
                        </c:pt>
                        <c:pt idx="18">
                          <c:v>7월</c:v>
                        </c:pt>
                        <c:pt idx="19">
                          <c:v>8월</c:v>
                        </c:pt>
                        <c:pt idx="20">
                          <c:v>9월</c:v>
                        </c:pt>
                        <c:pt idx="21">
                          <c:v>10월</c:v>
                        </c:pt>
                        <c:pt idx="22">
                          <c:v>11월</c:v>
                        </c:pt>
                        <c:pt idx="23">
                          <c:v>12월</c:v>
                        </c:pt>
                      </c:lvl>
                      <c:lvl>
                        <c:pt idx="0">
                          <c:v>2025년</c:v>
                        </c:pt>
                        <c:pt idx="12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'2026년'!$D$34:$O$34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-16636920.90909091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C79-48AF-A4E6-D5CCB76BE47E}"/>
                  </c:ext>
                </c:extLst>
              </c15:ser>
            </c15:filteredBarSeries>
          </c:ext>
        </c:extLst>
      </c:bar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spPr>
        <a:solidFill>
          <a:schemeClr val="tx1"/>
        </a:solidFill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bg1"/>
                </a:solidFill>
              </a:rPr>
              <a:t>26</a:t>
            </a:r>
            <a:r>
              <a:rPr lang="ko-KR" altLang="en-US" sz="1400" b="1">
                <a:solidFill>
                  <a:schemeClr val="bg1"/>
                </a:solidFill>
              </a:rPr>
              <a:t>년 </a:t>
            </a:r>
            <a:r>
              <a:rPr lang="en-US" altLang="ko-KR" sz="1400" b="1">
                <a:solidFill>
                  <a:schemeClr val="bg1"/>
                </a:solidFill>
              </a:rPr>
              <a:t>6</a:t>
            </a:r>
            <a:r>
              <a:rPr lang="ko-KR" altLang="en-US" sz="1400" b="1">
                <a:solidFill>
                  <a:schemeClr val="bg1"/>
                </a:solidFill>
              </a:rPr>
              <a:t>월 밀크런 비용절감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'2026년'!$AL$22</c:f>
              <c:strCache>
                <c:ptCount val="1"/>
                <c:pt idx="0">
                  <c:v>ONLY 밀크런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'2026년'!$AK$23:$AK$25</c:f>
              <c:strCache>
                <c:ptCount val="3"/>
                <c:pt idx="0">
                  <c:v>쿠팡로켓</c:v>
                </c:pt>
                <c:pt idx="1">
                  <c:v>쿠팡프레시</c:v>
                </c:pt>
                <c:pt idx="2">
                  <c:v>쿠팡 TTL</c:v>
                </c:pt>
              </c:strCache>
            </c:strRef>
          </c:cat>
          <c:val>
            <c:numRef>
              <c:f>'2026년'!$AL$23:$AL$25</c:f>
              <c:numCache>
                <c:formatCode>_(* #,##0_);_(* \(#,##0\);_(* "-"_);_(@_)</c:formatCode>
                <c:ptCount val="3"/>
                <c:pt idx="0">
                  <c:v>61015100</c:v>
                </c:pt>
                <c:pt idx="1">
                  <c:v>33746000</c:v>
                </c:pt>
                <c:pt idx="2">
                  <c:v>94761100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3-4D4A-A76C-69E0460ACDC9}"/>
            </c:ext>
          </c:extLst>
        </c:ser>
        <c:ser>
          <c:idx val="1"/>
          <c:order val="1"/>
          <c:tx>
            <c:strRef>
              <c:f>'2026년'!$AM$22</c:f>
              <c:strCache>
                <c:ptCount val="1"/>
                <c:pt idx="0">
                  <c:v>밀크런+쉽먼트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'2026년'!$AK$23:$AK$25</c:f>
              <c:strCache>
                <c:ptCount val="3"/>
                <c:pt idx="0">
                  <c:v>쿠팡로켓</c:v>
                </c:pt>
                <c:pt idx="1">
                  <c:v>쿠팡프레시</c:v>
                </c:pt>
                <c:pt idx="2">
                  <c:v>쿠팡 TTL</c:v>
                </c:pt>
              </c:strCache>
            </c:strRef>
          </c:cat>
          <c:val>
            <c:numRef>
              <c:f>'2026년'!$AM$23:$AM$25</c:f>
              <c:numCache>
                <c:formatCode>_(* #,##0_);_(* \(#,##0\);_(* "-"_);_(@_)</c:formatCode>
                <c:ptCount val="3"/>
                <c:pt idx="0">
                  <c:v>27254901</c:v>
                </c:pt>
                <c:pt idx="1">
                  <c:v>30280440</c:v>
                </c:pt>
                <c:pt idx="2">
                  <c:v>57535341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D4A-A76C-69E0460AC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341056"/>
        <c:axId val="689344896"/>
      </c:barChart>
      <c:catAx>
        <c:axId val="6893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9344896"/>
        <c:crosses val="autoZero"/>
        <c:auto val="1"/>
        <c:lblAlgn val="ctr"/>
        <c:lblOffset val="100"/>
        <c:noMultiLvlLbl val="0"/>
      </c:catAx>
      <c:valAx>
        <c:axId val="68934489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93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>
                <a:solidFill>
                  <a:schemeClr val="bg1"/>
                </a:solidFill>
              </a:rPr>
              <a:t>쿠팡 프레시 밀크런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'2026년'!$B$9:$C$9</c:f>
              <c:strCache>
                <c:ptCount val="2"/>
                <c:pt idx="0">
                  <c:v>프레시</c:v>
                </c:pt>
                <c:pt idx="1">
                  <c:v>총매출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'2026년'!$D$4:$AA$5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'2026년'!$D$9:$AA$9</c:f>
              <c:numCache>
                <c:formatCode>_(* #,##0_);_(* \(#,##0\);_(* "-"_);_(@_)</c:formatCode>
                <c:ptCount val="24"/>
                <c:pt idx="0">
                  <c:v>1252005921</c:v>
                </c:pt>
                <c:pt idx="1">
                  <c:v>1222168620</c:v>
                </c:pt>
                <c:pt idx="2">
                  <c:v>1551240140</c:v>
                </c:pt>
                <c:pt idx="3">
                  <c:v>1540711742</c:v>
                </c:pt>
                <c:pt idx="4">
                  <c:v>2005928033</c:v>
                </c:pt>
                <c:pt idx="5">
                  <c:v>1774416514</c:v>
                </c:pt>
                <c:pt idx="6">
                  <c:v>2028261361</c:v>
                </c:pt>
                <c:pt idx="7">
                  <c:v>2082837338</c:v>
                </c:pt>
                <c:pt idx="8">
                  <c:v>2001521951</c:v>
                </c:pt>
                <c:pt idx="9">
                  <c:v>1476514959</c:v>
                </c:pt>
                <c:pt idx="10">
                  <c:v>1341905442</c:v>
                </c:pt>
                <c:pt idx="11">
                  <c:v>1323273822</c:v>
                </c:pt>
                <c:pt idx="12">
                  <c:v>1880373941</c:v>
                </c:pt>
                <c:pt idx="13">
                  <c:v>1588806376</c:v>
                </c:pt>
                <c:pt idx="14">
                  <c:v>1959128970</c:v>
                </c:pt>
                <c:pt idx="15">
                  <c:v>2369054652</c:v>
                </c:pt>
                <c:pt idx="16">
                  <c:v>2105751461</c:v>
                </c:pt>
                <c:pt idx="17">
                  <c:v>2095516400</c:v>
                </c:pt>
                <c:pt idx="18">
                  <c:v>2536627026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BDD-B8DA-413F0F61FD41}"/>
            </c:ext>
          </c:extLst>
        </c:ser>
        <c:ser>
          <c:idx val="1"/>
          <c:order val="1"/>
          <c:tx>
            <c:strRef>
              <c:f>'2026년'!$B$10:$C$10</c:f>
              <c:strCache>
                <c:ptCount val="2"/>
                <c:pt idx="0">
                  <c:v>프레시</c:v>
                </c:pt>
                <c:pt idx="1">
                  <c:v>밀크런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'2026년'!$D$4:$AA$5</c:f>
              <c:multiLvlStrCache>
                <c:ptCount val="24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  <c:pt idx="17">
                    <c:v>6월</c:v>
                  </c:pt>
                  <c:pt idx="18">
                    <c:v>7월</c:v>
                  </c:pt>
                  <c:pt idx="19">
                    <c:v>8월</c:v>
                  </c:pt>
                  <c:pt idx="20">
                    <c:v>9월</c:v>
                  </c:pt>
                  <c:pt idx="21">
                    <c:v>10월</c:v>
                  </c:pt>
                  <c:pt idx="22">
                    <c:v>11월</c:v>
                  </c:pt>
                  <c:pt idx="23">
                    <c:v>12월</c:v>
                  </c:pt>
                </c:lvl>
                <c:lvl>
                  <c:pt idx="0">
                    <c:v>2025년</c:v>
                  </c:pt>
                  <c:pt idx="12">
                    <c:v>2026년</c:v>
                  </c:pt>
                </c:lvl>
              </c:multiLvlStrCache>
            </c:multiLvlStrRef>
          </c:cat>
          <c:val>
            <c:numRef>
              <c:f>'2026년'!$D$10:$AA$10</c:f>
              <c:numCache>
                <c:formatCode>_(* #,##0_);_(* \(#,##0\);_(* "-"_);_(@_)</c:formatCode>
                <c:ptCount val="24"/>
                <c:pt idx="0">
                  <c:v>9162000</c:v>
                </c:pt>
                <c:pt idx="1">
                  <c:v>6438000</c:v>
                </c:pt>
                <c:pt idx="2">
                  <c:v>7431000</c:v>
                </c:pt>
                <c:pt idx="3">
                  <c:v>12872000</c:v>
                </c:pt>
                <c:pt idx="4">
                  <c:v>14916000</c:v>
                </c:pt>
                <c:pt idx="5">
                  <c:v>19897000</c:v>
                </c:pt>
                <c:pt idx="6">
                  <c:v>34652000</c:v>
                </c:pt>
                <c:pt idx="7">
                  <c:v>40966000</c:v>
                </c:pt>
                <c:pt idx="8">
                  <c:v>45525000</c:v>
                </c:pt>
                <c:pt idx="9">
                  <c:v>20355000</c:v>
                </c:pt>
                <c:pt idx="10">
                  <c:v>6924000</c:v>
                </c:pt>
                <c:pt idx="11">
                  <c:v>17680000</c:v>
                </c:pt>
                <c:pt idx="12">
                  <c:v>19056000</c:v>
                </c:pt>
                <c:pt idx="13">
                  <c:v>16219000</c:v>
                </c:pt>
                <c:pt idx="14">
                  <c:v>18798000</c:v>
                </c:pt>
                <c:pt idx="15">
                  <c:v>25775000</c:v>
                </c:pt>
                <c:pt idx="16">
                  <c:v>23130000</c:v>
                </c:pt>
                <c:pt idx="17">
                  <c:v>22756000</c:v>
                </c:pt>
                <c:pt idx="18">
                  <c:v>26445000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6-4BDD-B8DA-413F0F61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18064"/>
        <c:axId val="500818544"/>
      </c:barChart>
      <c:lineChart>
        <c:grouping val="standard"/>
        <c:varyColors val="0"/>
        <c:ser>
          <c:idx val="2"/>
          <c:order val="2"/>
          <c:tx>
            <c:strRef>
              <c:f>'2026년'!$B$11:$C$11</c:f>
              <c:strCache>
                <c:ptCount val="2"/>
                <c:pt idx="0">
                  <c:v>프레시</c:v>
                </c:pt>
                <c:pt idx="1">
                  <c:v>물류비율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'2026년'!$D$5:$AA$5</c:f>
              <c:strCache>
                <c:ptCount val="2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  <c:pt idx="16">
                  <c:v>5월</c:v>
                </c:pt>
                <c:pt idx="17">
                  <c:v>6월</c:v>
                </c:pt>
                <c:pt idx="18">
                  <c:v>7월</c:v>
                </c:pt>
                <c:pt idx="19">
                  <c:v>8월</c:v>
                </c:pt>
                <c:pt idx="20">
                  <c:v>9월</c:v>
                </c:pt>
                <c:pt idx="21">
                  <c:v>10월</c:v>
                </c:pt>
                <c:pt idx="22">
                  <c:v>11월</c:v>
                </c:pt>
                <c:pt idx="23">
                  <c:v>12월</c:v>
                </c:pt>
              </c:strCache>
            </c:strRef>
          </c:cat>
          <c:val>
            <c:numRef>
              <c:f>'2026년'!$D$11:$AA$11</c:f>
              <c:numCache>
                <c:formatCode>0.00%</c:formatCode>
                <c:ptCount val="24"/>
                <c:pt idx="0">
                  <c:v>7.3178567659505506E-3</c:v>
                </c:pt>
                <c:pt idx="1">
                  <c:v>5.2676855669882934E-3</c:v>
                </c:pt>
                <c:pt idx="2">
                  <c:v>4.7903608270477068E-3</c:v>
                </c:pt>
                <c:pt idx="3">
                  <c:v>8.3545803209696054E-3</c:v>
                </c:pt>
                <c:pt idx="4">
                  <c:v>7.4359596927772728E-3</c:v>
                </c:pt>
                <c:pt idx="5">
                  <c:v>1.1213263539318029E-2</c:v>
                </c:pt>
                <c:pt idx="6">
                  <c:v>1.7084583213139461E-2</c:v>
                </c:pt>
                <c:pt idx="7">
                  <c:v>1.9668362599710606E-2</c:v>
                </c:pt>
                <c:pt idx="8">
                  <c:v>2.2745191466551146E-2</c:v>
                </c:pt>
                <c:pt idx="9">
                  <c:v>1.378584068920361E-2</c:v>
                </c:pt>
                <c:pt idx="10">
                  <c:v>5.1598270513608961E-3</c:v>
                </c:pt>
                <c:pt idx="11">
                  <c:v>1.3360802357049877E-2</c:v>
                </c:pt>
                <c:pt idx="12">
                  <c:v>1.0134154480925132E-2</c:v>
                </c:pt>
                <c:pt idx="13">
                  <c:v>1.0208292366520563E-2</c:v>
                </c:pt>
                <c:pt idx="14">
                  <c:v>9.5950804096373507E-3</c:v>
                </c:pt>
                <c:pt idx="15">
                  <c:v>1.0879867198606105E-2</c:v>
                </c:pt>
                <c:pt idx="16">
                  <c:v>1.0984202280460867E-2</c:v>
                </c:pt>
                <c:pt idx="17">
                  <c:v>1.0859375760552388E-2</c:v>
                </c:pt>
                <c:pt idx="18">
                  <c:v>1.0425261470820582E-2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6-4BDD-B8DA-413F0F61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93920"/>
        <c:axId val="521299200"/>
      </c:lineChart>
      <c:catAx>
        <c:axId val="500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544"/>
        <c:crosses val="autoZero"/>
        <c:auto val="1"/>
        <c:lblAlgn val="ctr"/>
        <c:lblOffset val="100"/>
        <c:noMultiLvlLbl val="0"/>
      </c:catAx>
      <c:valAx>
        <c:axId val="5008185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818064"/>
        <c:crosses val="autoZero"/>
        <c:crossBetween val="between"/>
      </c:valAx>
      <c:valAx>
        <c:axId val="5212992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93920"/>
        <c:crosses val="max"/>
        <c:crossBetween val="between"/>
      </c:valAx>
      <c:catAx>
        <c:axId val="521293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29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33</xdr:row>
      <xdr:rowOff>11904</xdr:rowOff>
    </xdr:from>
    <xdr:to>
      <xdr:col>8</xdr:col>
      <xdr:colOff>59531</xdr:colOff>
      <xdr:row>54</xdr:row>
      <xdr:rowOff>166686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F307CE9-3991-3CB5-DE63-AA80E1B46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440531</xdr:colOff>
      <xdr:row>32</xdr:row>
      <xdr:rowOff>354806</xdr:rowOff>
    </xdr:from>
    <xdr:to>
      <xdr:col>15</xdr:col>
      <xdr:colOff>409573</xdr:colOff>
      <xdr:row>54</xdr:row>
      <xdr:rowOff>168501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DE39866-3A4B-424F-8336-4E12E5883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726280</xdr:colOff>
      <xdr:row>33</xdr:row>
      <xdr:rowOff>0</xdr:rowOff>
    </xdr:from>
    <xdr:to>
      <xdr:col>27</xdr:col>
      <xdr:colOff>416717</xdr:colOff>
      <xdr:row>52</xdr:row>
      <xdr:rowOff>57151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D534BB5-2E13-44EC-A155-8C8EB14EB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525064</xdr:colOff>
      <xdr:row>32</xdr:row>
      <xdr:rowOff>351232</xdr:rowOff>
    </xdr:from>
    <xdr:to>
      <xdr:col>36</xdr:col>
      <xdr:colOff>683419</xdr:colOff>
      <xdr:row>52</xdr:row>
      <xdr:rowOff>83344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69C5E6B-052E-F176-C3F2-C577435C7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68035</xdr:colOff>
      <xdr:row>35</xdr:row>
      <xdr:rowOff>52724</xdr:rowOff>
    </xdr:from>
    <xdr:to>
      <xdr:col>16</xdr:col>
      <xdr:colOff>1156608</xdr:colOff>
      <xdr:row>61</xdr:row>
      <xdr:rowOff>31975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544D53-D365-4655-9174-924181A9D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912695</xdr:colOff>
      <xdr:row>35</xdr:row>
      <xdr:rowOff>31976</xdr:rowOff>
    </xdr:from>
    <xdr:to>
      <xdr:col>29</xdr:col>
      <xdr:colOff>231320</xdr:colOff>
      <xdr:row>61</xdr:row>
      <xdr:rowOff>18368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72BF4EF-8B65-4163-990B-2033CA233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525064</xdr:colOff>
      <xdr:row>34</xdr:row>
      <xdr:rowOff>351232</xdr:rowOff>
    </xdr:from>
    <xdr:to>
      <xdr:col>42</xdr:col>
      <xdr:colOff>683419</xdr:colOff>
      <xdr:row>54</xdr:row>
      <xdr:rowOff>83344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4A5908-B918-4D02-B5E2-EA836DB8E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73475</xdr:colOff>
      <xdr:row>61</xdr:row>
      <xdr:rowOff>131988</xdr:rowOff>
    </xdr:from>
    <xdr:to>
      <xdr:col>16</xdr:col>
      <xdr:colOff>1174977</xdr:colOff>
      <xdr:row>88</xdr:row>
      <xdr:rowOff>154441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3FFB343-8E99-4F18-A7AD-D622E36D3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62E7-509F-4A36-87B7-59334D048941}">
  <dimension ref="B1:AJ38"/>
  <sheetViews>
    <sheetView showGridLines="0" zoomScale="90" zoomScaleNormal="90" workbookViewId="0">
      <selection activeCell="U28" sqref="U28"/>
    </sheetView>
  </sheetViews>
  <sheetFormatPr defaultRowHeight="16.5" x14ac:dyDescent="0.3"/>
  <cols>
    <col min="2" max="2" width="14.625" customWidth="1"/>
    <col min="3" max="3" width="14.75" customWidth="1"/>
    <col min="4" max="14" width="16.375" customWidth="1"/>
    <col min="15" max="16" width="17" customWidth="1"/>
    <col min="31" max="31" width="13.125" bestFit="1" customWidth="1"/>
    <col min="32" max="32" width="13.375" bestFit="1" customWidth="1"/>
    <col min="33" max="33" width="13.875" customWidth="1"/>
    <col min="34" max="34" width="12.125" bestFit="1" customWidth="1"/>
  </cols>
  <sheetData>
    <row r="1" spans="2:36" x14ac:dyDescent="0.3">
      <c r="F1" s="9"/>
      <c r="G1" s="7"/>
      <c r="H1" s="7"/>
      <c r="I1" s="7"/>
      <c r="J1" s="7"/>
      <c r="K1" s="7"/>
    </row>
    <row r="2" spans="2:36" ht="32.25" thickBot="1" x14ac:dyDescent="0.35">
      <c r="B2" s="2" t="s">
        <v>0</v>
      </c>
      <c r="G2" s="8"/>
      <c r="H2" s="8"/>
      <c r="I2" s="8"/>
      <c r="J2" s="8"/>
      <c r="K2" s="8"/>
    </row>
    <row r="3" spans="2:36" ht="17.25" thickBot="1" x14ac:dyDescent="0.35">
      <c r="D3" s="40"/>
      <c r="E3" s="40"/>
      <c r="F3" s="40"/>
      <c r="G3" s="40"/>
      <c r="H3" s="40"/>
      <c r="I3" s="40"/>
      <c r="J3" s="40"/>
      <c r="K3" s="40"/>
      <c r="L3" s="40"/>
    </row>
    <row r="4" spans="2:36" ht="17.25" thickTop="1" x14ac:dyDescent="0.3">
      <c r="B4" s="95" t="s">
        <v>7</v>
      </c>
      <c r="C4" s="96"/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20" t="s">
        <v>16</v>
      </c>
      <c r="M4" s="29" t="s">
        <v>17</v>
      </c>
      <c r="N4" s="29" t="s">
        <v>18</v>
      </c>
      <c r="O4" s="77" t="s">
        <v>25</v>
      </c>
      <c r="P4" s="36">
        <v>2025</v>
      </c>
    </row>
    <row r="5" spans="2:36" x14ac:dyDescent="0.3">
      <c r="B5" s="92" t="s">
        <v>1</v>
      </c>
      <c r="C5" s="1" t="s">
        <v>6</v>
      </c>
      <c r="D5" s="10">
        <v>1640652011</v>
      </c>
      <c r="E5" s="10">
        <v>1741008306</v>
      </c>
      <c r="F5" s="10">
        <v>2156635104</v>
      </c>
      <c r="G5" s="10">
        <v>2530843178</v>
      </c>
      <c r="H5" s="10">
        <v>2398699509</v>
      </c>
      <c r="I5" s="10">
        <v>2667219080</v>
      </c>
      <c r="J5" s="10">
        <v>2637426758</v>
      </c>
      <c r="K5" s="11">
        <v>2169360007</v>
      </c>
      <c r="L5" s="21">
        <v>3105564815</v>
      </c>
      <c r="M5" s="30">
        <v>1621443974</v>
      </c>
      <c r="N5" s="30">
        <v>746215306</v>
      </c>
      <c r="O5" s="78">
        <v>1804223046</v>
      </c>
      <c r="P5" s="38">
        <f>SUM(D5:O5)</f>
        <v>25219291094</v>
      </c>
      <c r="Q5" s="27"/>
    </row>
    <row r="6" spans="2:36" x14ac:dyDescent="0.3">
      <c r="B6" s="92"/>
      <c r="C6" s="1" t="s">
        <v>4</v>
      </c>
      <c r="D6" s="12">
        <v>33810250</v>
      </c>
      <c r="E6" s="12">
        <v>38866700</v>
      </c>
      <c r="F6" s="12">
        <v>52327500</v>
      </c>
      <c r="G6" s="12">
        <v>50615550</v>
      </c>
      <c r="H6" s="12">
        <v>43776650</v>
      </c>
      <c r="I6" s="12">
        <v>33622300</v>
      </c>
      <c r="J6" s="13">
        <v>51158450</v>
      </c>
      <c r="K6" s="14">
        <v>37959905</v>
      </c>
      <c r="L6" s="22">
        <v>36221430</v>
      </c>
      <c r="M6" s="31">
        <v>17431285</v>
      </c>
      <c r="N6" s="31">
        <v>12998790</v>
      </c>
      <c r="O6" s="79">
        <v>16199270</v>
      </c>
      <c r="P6" s="39">
        <f>SUM(D6:O6)</f>
        <v>424988080</v>
      </c>
      <c r="Q6" s="27"/>
      <c r="R6" s="5" t="s">
        <v>21</v>
      </c>
    </row>
    <row r="7" spans="2:36" x14ac:dyDescent="0.3">
      <c r="B7" s="92"/>
      <c r="C7" s="1" t="s">
        <v>5</v>
      </c>
      <c r="D7" s="15">
        <f t="shared" ref="D7:M7" si="0">D6/D5</f>
        <v>2.0607813097057788E-2</v>
      </c>
      <c r="E7" s="15">
        <f t="shared" si="0"/>
        <v>2.2324247314647792E-2</v>
      </c>
      <c r="F7" s="15">
        <f t="shared" si="0"/>
        <v>2.4263492652487215E-2</v>
      </c>
      <c r="G7" s="15">
        <f t="shared" si="0"/>
        <v>1.9999480979299145E-2</v>
      </c>
      <c r="H7" s="15">
        <f t="shared" si="0"/>
        <v>1.8250160070383371E-2</v>
      </c>
      <c r="I7" s="15">
        <f t="shared" si="0"/>
        <v>1.2605751155619358E-2</v>
      </c>
      <c r="J7" s="15">
        <f t="shared" si="0"/>
        <v>1.939710736793852E-2</v>
      </c>
      <c r="K7" s="15">
        <f t="shared" si="0"/>
        <v>1.7498204483125238E-2</v>
      </c>
      <c r="L7" s="23">
        <f t="shared" si="0"/>
        <v>1.1663395278388354E-2</v>
      </c>
      <c r="M7" s="32">
        <f t="shared" si="0"/>
        <v>1.0750470123860104E-2</v>
      </c>
      <c r="N7" s="32">
        <f>N6/N5</f>
        <v>1.7419623928217845E-2</v>
      </c>
      <c r="O7" s="80">
        <f>O6/O5</f>
        <v>8.9785295869677078E-3</v>
      </c>
      <c r="P7" s="73">
        <f>P6/P5</f>
        <v>1.685170603788741E-2</v>
      </c>
      <c r="R7" s="4" t="s">
        <v>22</v>
      </c>
    </row>
    <row r="8" spans="2:36" x14ac:dyDescent="0.3">
      <c r="B8" s="92" t="s">
        <v>2</v>
      </c>
      <c r="C8" s="1" t="s">
        <v>6</v>
      </c>
      <c r="D8" s="10">
        <v>1252005921</v>
      </c>
      <c r="E8" s="10">
        <v>1222168620</v>
      </c>
      <c r="F8" s="10">
        <v>1551240140</v>
      </c>
      <c r="G8" s="10">
        <v>1540711742</v>
      </c>
      <c r="H8" s="10">
        <v>2005928033</v>
      </c>
      <c r="I8" s="10">
        <v>1774416514</v>
      </c>
      <c r="J8" s="10">
        <v>2028261361</v>
      </c>
      <c r="K8" s="10">
        <v>2082837338</v>
      </c>
      <c r="L8" s="21">
        <v>2001521951</v>
      </c>
      <c r="M8" s="30">
        <v>1476514959</v>
      </c>
      <c r="N8" s="30">
        <v>1341905442</v>
      </c>
      <c r="O8" s="78">
        <v>1323273822</v>
      </c>
      <c r="P8" s="38">
        <f>SUM(D8:O8)</f>
        <v>19600785843</v>
      </c>
      <c r="Q8" s="27"/>
      <c r="R8" s="4"/>
    </row>
    <row r="9" spans="2:36" x14ac:dyDescent="0.3">
      <c r="B9" s="92"/>
      <c r="C9" s="1" t="s">
        <v>4</v>
      </c>
      <c r="D9" s="12">
        <v>9162000</v>
      </c>
      <c r="E9" s="12">
        <v>6438000</v>
      </c>
      <c r="F9" s="12">
        <v>7431000</v>
      </c>
      <c r="G9" s="12">
        <v>12872000</v>
      </c>
      <c r="H9" s="12">
        <v>14916000</v>
      </c>
      <c r="I9" s="12">
        <v>19897000</v>
      </c>
      <c r="J9" s="13">
        <v>34652000</v>
      </c>
      <c r="K9" s="13">
        <v>40966000</v>
      </c>
      <c r="L9" s="22">
        <v>45525000</v>
      </c>
      <c r="M9" s="31">
        <v>20355000</v>
      </c>
      <c r="N9" s="31">
        <v>6924000</v>
      </c>
      <c r="O9" s="79">
        <v>17680000</v>
      </c>
      <c r="P9" s="39">
        <f>SUM(D9:O9)</f>
        <v>236818000</v>
      </c>
      <c r="Q9" s="27"/>
      <c r="R9" s="5" t="s">
        <v>23</v>
      </c>
    </row>
    <row r="10" spans="2:36" x14ac:dyDescent="0.3">
      <c r="B10" s="92"/>
      <c r="C10" s="1" t="s">
        <v>5</v>
      </c>
      <c r="D10" s="15">
        <f t="shared" ref="D10:M10" si="1">D9/D8</f>
        <v>7.3178567659505506E-3</v>
      </c>
      <c r="E10" s="15">
        <f t="shared" si="1"/>
        <v>5.2676855669882934E-3</v>
      </c>
      <c r="F10" s="15">
        <f t="shared" si="1"/>
        <v>4.7903608270477068E-3</v>
      </c>
      <c r="G10" s="15">
        <f t="shared" si="1"/>
        <v>8.3545803209696054E-3</v>
      </c>
      <c r="H10" s="15">
        <f t="shared" si="1"/>
        <v>7.4359596927772728E-3</v>
      </c>
      <c r="I10" s="15">
        <f t="shared" si="1"/>
        <v>1.1213263539318029E-2</v>
      </c>
      <c r="J10" s="15">
        <f t="shared" si="1"/>
        <v>1.7084583213139461E-2</v>
      </c>
      <c r="K10" s="15">
        <f t="shared" si="1"/>
        <v>1.9668362599710606E-2</v>
      </c>
      <c r="L10" s="23">
        <f t="shared" si="1"/>
        <v>2.2745191466551146E-2</v>
      </c>
      <c r="M10" s="32">
        <f t="shared" si="1"/>
        <v>1.378584068920361E-2</v>
      </c>
      <c r="N10" s="32">
        <f>N9/N8</f>
        <v>5.1598270513608961E-3</v>
      </c>
      <c r="O10" s="80">
        <f>O9/O8</f>
        <v>1.3360802357049877E-2</v>
      </c>
      <c r="P10" s="73">
        <f>P9/P8</f>
        <v>1.2082066601659978E-2</v>
      </c>
      <c r="R10" s="4" t="s">
        <v>24</v>
      </c>
    </row>
    <row r="11" spans="2:36" x14ac:dyDescent="0.3">
      <c r="B11" s="93" t="s">
        <v>3</v>
      </c>
      <c r="C11" s="16" t="s">
        <v>6</v>
      </c>
      <c r="D11" s="17">
        <f t="shared" ref="D11:I12" si="2">D5+D8</f>
        <v>2892657932</v>
      </c>
      <c r="E11" s="17">
        <f t="shared" si="2"/>
        <v>2963176926</v>
      </c>
      <c r="F11" s="17">
        <f t="shared" si="2"/>
        <v>3707875244</v>
      </c>
      <c r="G11" s="17">
        <f t="shared" si="2"/>
        <v>4071554920</v>
      </c>
      <c r="H11" s="17">
        <f t="shared" si="2"/>
        <v>4404627542</v>
      </c>
      <c r="I11" s="17">
        <f t="shared" si="2"/>
        <v>4441635594</v>
      </c>
      <c r="J11" s="17">
        <f t="shared" ref="J11:P12" si="3">J5+J8</f>
        <v>4665688119</v>
      </c>
      <c r="K11" s="17">
        <f t="shared" si="3"/>
        <v>4252197345</v>
      </c>
      <c r="L11" s="24">
        <f t="shared" si="3"/>
        <v>5107086766</v>
      </c>
      <c r="M11" s="33">
        <f t="shared" si="3"/>
        <v>3097958933</v>
      </c>
      <c r="N11" s="33">
        <f t="shared" si="3"/>
        <v>2088120748</v>
      </c>
      <c r="O11" s="81">
        <f t="shared" si="3"/>
        <v>3127496868</v>
      </c>
      <c r="P11" s="74">
        <f t="shared" si="3"/>
        <v>44820076937</v>
      </c>
      <c r="Q11" s="27"/>
    </row>
    <row r="12" spans="2:36" x14ac:dyDescent="0.3">
      <c r="B12" s="93"/>
      <c r="C12" s="16" t="s">
        <v>4</v>
      </c>
      <c r="D12" s="18">
        <f t="shared" si="2"/>
        <v>42972250</v>
      </c>
      <c r="E12" s="18">
        <f t="shared" si="2"/>
        <v>45304700</v>
      </c>
      <c r="F12" s="18">
        <f t="shared" si="2"/>
        <v>59758500</v>
      </c>
      <c r="G12" s="18">
        <f t="shared" si="2"/>
        <v>63487550</v>
      </c>
      <c r="H12" s="18">
        <f t="shared" si="2"/>
        <v>58692650</v>
      </c>
      <c r="I12" s="18">
        <f t="shared" si="2"/>
        <v>53519300</v>
      </c>
      <c r="J12" s="18">
        <f t="shared" si="3"/>
        <v>85810450</v>
      </c>
      <c r="K12" s="18">
        <f t="shared" si="3"/>
        <v>78925905</v>
      </c>
      <c r="L12" s="25">
        <f t="shared" si="3"/>
        <v>81746430</v>
      </c>
      <c r="M12" s="34">
        <f t="shared" si="3"/>
        <v>37786285</v>
      </c>
      <c r="N12" s="34">
        <f t="shared" si="3"/>
        <v>19922790</v>
      </c>
      <c r="O12" s="82">
        <f t="shared" si="3"/>
        <v>33879270</v>
      </c>
      <c r="P12" s="75">
        <f t="shared" si="3"/>
        <v>661806080</v>
      </c>
      <c r="Q12" s="27"/>
    </row>
    <row r="13" spans="2:36" ht="17.25" thickBot="1" x14ac:dyDescent="0.35">
      <c r="B13" s="93"/>
      <c r="C13" s="16" t="s">
        <v>5</v>
      </c>
      <c r="D13" s="19">
        <f t="shared" ref="D13:I13" si="4">D12/D11</f>
        <v>1.4855627941561948E-2</v>
      </c>
      <c r="E13" s="19">
        <f t="shared" si="4"/>
        <v>1.5289232175939265E-2</v>
      </c>
      <c r="F13" s="19">
        <f t="shared" si="4"/>
        <v>1.611664256954164E-2</v>
      </c>
      <c r="G13" s="19">
        <f t="shared" si="4"/>
        <v>1.5592949437606996E-2</v>
      </c>
      <c r="H13" s="19">
        <f t="shared" si="4"/>
        <v>1.3325224310192082E-2</v>
      </c>
      <c r="I13" s="19">
        <f t="shared" si="4"/>
        <v>1.2049457653008893E-2</v>
      </c>
      <c r="J13" s="19">
        <f t="shared" ref="J13:P13" si="5">J12/J11</f>
        <v>1.8391810127761348E-2</v>
      </c>
      <c r="K13" s="19">
        <f t="shared" si="5"/>
        <v>1.856120461878516E-2</v>
      </c>
      <c r="L13" s="26">
        <f t="shared" si="5"/>
        <v>1.6006469783168747E-2</v>
      </c>
      <c r="M13" s="35">
        <f t="shared" si="5"/>
        <v>1.2197154906572159E-2</v>
      </c>
      <c r="N13" s="35">
        <f t="shared" si="5"/>
        <v>9.5410143398469791E-3</v>
      </c>
      <c r="O13" s="83">
        <f t="shared" si="5"/>
        <v>1.0832711088105877E-2</v>
      </c>
      <c r="P13" s="76">
        <f t="shared" si="5"/>
        <v>1.4765839892025351E-2</v>
      </c>
    </row>
    <row r="14" spans="2:36" ht="17.25" thickTop="1" x14ac:dyDescent="0.3"/>
    <row r="15" spans="2:36" ht="31.5" x14ac:dyDescent="0.3">
      <c r="B15" s="2" t="s">
        <v>26</v>
      </c>
    </row>
    <row r="16" spans="2:36" x14ac:dyDescent="0.3">
      <c r="AI16" s="7"/>
      <c r="AJ16" s="7"/>
    </row>
    <row r="17" spans="2:36" x14ac:dyDescent="0.3">
      <c r="B17" s="95" t="s">
        <v>7</v>
      </c>
      <c r="C17" s="96"/>
      <c r="D17" s="3" t="s">
        <v>8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3" t="s">
        <v>14</v>
      </c>
      <c r="K17" s="3" t="s">
        <v>15</v>
      </c>
      <c r="L17" s="20" t="s">
        <v>16</v>
      </c>
      <c r="M17" s="29" t="s">
        <v>17</v>
      </c>
      <c r="N17" s="37" t="s">
        <v>18</v>
      </c>
      <c r="O17" s="36" t="s">
        <v>25</v>
      </c>
      <c r="P17" s="36">
        <v>2025</v>
      </c>
      <c r="AI17" s="7"/>
      <c r="AJ17" s="7"/>
    </row>
    <row r="18" spans="2:36" x14ac:dyDescent="0.3">
      <c r="B18" s="92" t="s">
        <v>1</v>
      </c>
      <c r="C18" s="1" t="s">
        <v>27</v>
      </c>
      <c r="D18" s="28"/>
      <c r="E18" s="28"/>
      <c r="F18" s="28"/>
      <c r="G18" s="28"/>
      <c r="H18" s="28"/>
      <c r="I18" s="28"/>
      <c r="J18" s="28"/>
      <c r="K18" s="28"/>
      <c r="L18" s="56"/>
      <c r="M18" s="57"/>
      <c r="N18" s="58"/>
      <c r="O18" s="58">
        <v>39196900</v>
      </c>
      <c r="P18" s="58">
        <f>SUM(D18:O18)</f>
        <v>39196900</v>
      </c>
      <c r="AI18" s="7"/>
      <c r="AJ18" s="7"/>
    </row>
    <row r="19" spans="2:36" x14ac:dyDescent="0.3">
      <c r="B19" s="92"/>
      <c r="C19" s="50" t="s">
        <v>4</v>
      </c>
      <c r="D19" s="51"/>
      <c r="E19" s="51"/>
      <c r="F19" s="51"/>
      <c r="G19" s="51"/>
      <c r="H19" s="51"/>
      <c r="I19" s="51"/>
      <c r="J19" s="52"/>
      <c r="K19" s="52"/>
      <c r="L19" s="53"/>
      <c r="M19" s="54"/>
      <c r="N19" s="55"/>
      <c r="O19" s="55">
        <v>16199270</v>
      </c>
      <c r="P19" s="55">
        <f t="shared" ref="P19:P32" si="6">SUM(D19:O19)</f>
        <v>16199270</v>
      </c>
      <c r="AF19" s="7"/>
      <c r="AG19" s="7"/>
      <c r="AH19" s="7"/>
      <c r="AI19" s="7"/>
      <c r="AJ19" s="7"/>
    </row>
    <row r="20" spans="2:36" x14ac:dyDescent="0.3">
      <c r="B20" s="92"/>
      <c r="C20" s="1" t="s">
        <v>19</v>
      </c>
      <c r="D20" s="41"/>
      <c r="E20" s="41"/>
      <c r="F20" s="41"/>
      <c r="G20" s="41"/>
      <c r="H20" s="41"/>
      <c r="I20" s="41"/>
      <c r="J20" s="42"/>
      <c r="K20" s="42"/>
      <c r="L20" s="43"/>
      <c r="M20" s="44"/>
      <c r="N20" s="45"/>
      <c r="O20" s="45">
        <v>9630000</v>
      </c>
      <c r="P20" s="45">
        <f t="shared" si="6"/>
        <v>9630000</v>
      </c>
      <c r="AE20" t="s">
        <v>25</v>
      </c>
      <c r="AF20" t="s">
        <v>27</v>
      </c>
      <c r="AG20" t="s">
        <v>35</v>
      </c>
    </row>
    <row r="21" spans="2:36" x14ac:dyDescent="0.3">
      <c r="B21" s="92"/>
      <c r="C21" s="1" t="s">
        <v>32</v>
      </c>
      <c r="D21" s="41">
        <f>D19+D20</f>
        <v>0</v>
      </c>
      <c r="E21" s="41">
        <f t="shared" ref="E21:O21" si="7">E19+E20</f>
        <v>0</v>
      </c>
      <c r="F21" s="41">
        <f t="shared" si="7"/>
        <v>0</v>
      </c>
      <c r="G21" s="41">
        <f t="shared" si="7"/>
        <v>0</v>
      </c>
      <c r="H21" s="41">
        <f t="shared" si="7"/>
        <v>0</v>
      </c>
      <c r="I21" s="41">
        <f t="shared" si="7"/>
        <v>0</v>
      </c>
      <c r="J21" s="42">
        <f t="shared" si="7"/>
        <v>0</v>
      </c>
      <c r="K21" s="42">
        <f t="shared" si="7"/>
        <v>0</v>
      </c>
      <c r="L21" s="43">
        <f t="shared" si="7"/>
        <v>0</v>
      </c>
      <c r="M21" s="44">
        <f t="shared" si="7"/>
        <v>0</v>
      </c>
      <c r="N21" s="45">
        <f t="shared" si="7"/>
        <v>0</v>
      </c>
      <c r="O21" s="45">
        <f t="shared" si="7"/>
        <v>25829270</v>
      </c>
      <c r="P21" s="45">
        <f t="shared" si="6"/>
        <v>25829270</v>
      </c>
      <c r="AE21" t="s">
        <v>33</v>
      </c>
      <c r="AF21" s="7">
        <v>39196900</v>
      </c>
      <c r="AG21" s="7">
        <v>25829270</v>
      </c>
      <c r="AH21" s="7">
        <f>AG21-AF21</f>
        <v>-13367630</v>
      </c>
    </row>
    <row r="22" spans="2:36" x14ac:dyDescent="0.3">
      <c r="B22" s="92"/>
      <c r="C22" s="68" t="s">
        <v>20</v>
      </c>
      <c r="D22" s="69">
        <f>D21-D18</f>
        <v>0</v>
      </c>
      <c r="E22" s="69">
        <f t="shared" ref="E22:O22" si="8">E21-E18</f>
        <v>0</v>
      </c>
      <c r="F22" s="69">
        <f t="shared" si="8"/>
        <v>0</v>
      </c>
      <c r="G22" s="69">
        <f t="shared" si="8"/>
        <v>0</v>
      </c>
      <c r="H22" s="69">
        <f t="shared" si="8"/>
        <v>0</v>
      </c>
      <c r="I22" s="69">
        <f t="shared" si="8"/>
        <v>0</v>
      </c>
      <c r="J22" s="69">
        <f t="shared" si="8"/>
        <v>0</v>
      </c>
      <c r="K22" s="69">
        <f t="shared" si="8"/>
        <v>0</v>
      </c>
      <c r="L22" s="70">
        <f t="shared" si="8"/>
        <v>0</v>
      </c>
      <c r="M22" s="71">
        <f t="shared" si="8"/>
        <v>0</v>
      </c>
      <c r="N22" s="72">
        <f t="shared" si="8"/>
        <v>0</v>
      </c>
      <c r="O22" s="72">
        <f t="shared" si="8"/>
        <v>-13367630</v>
      </c>
      <c r="P22" s="72">
        <f t="shared" si="6"/>
        <v>-13367630</v>
      </c>
      <c r="AE22" t="s">
        <v>34</v>
      </c>
      <c r="AF22" s="7">
        <v>29953090.90909091</v>
      </c>
      <c r="AG22" s="7">
        <v>26683800</v>
      </c>
      <c r="AH22" s="7">
        <f>AG22-AF22</f>
        <v>-3269290.9090909101</v>
      </c>
    </row>
    <row r="23" spans="2:36" x14ac:dyDescent="0.3">
      <c r="B23" s="92" t="s">
        <v>2</v>
      </c>
      <c r="C23" s="1" t="s">
        <v>27</v>
      </c>
      <c r="D23" s="28"/>
      <c r="E23" s="28"/>
      <c r="F23" s="28"/>
      <c r="G23" s="28"/>
      <c r="H23" s="28"/>
      <c r="I23" s="28"/>
      <c r="J23" s="28"/>
      <c r="K23" s="28"/>
      <c r="L23" s="56"/>
      <c r="M23" s="57"/>
      <c r="N23" s="58"/>
      <c r="O23" s="58">
        <v>29953090.90909091</v>
      </c>
      <c r="P23" s="58">
        <f t="shared" si="6"/>
        <v>29953090.90909091</v>
      </c>
      <c r="AE23" t="s">
        <v>36</v>
      </c>
      <c r="AF23" s="7">
        <f>AF21+AF22</f>
        <v>69149990.909090906</v>
      </c>
      <c r="AG23" s="7">
        <f>AG21+AG22</f>
        <v>52513070</v>
      </c>
      <c r="AH23" s="7">
        <f>AG23-AF23</f>
        <v>-16636920.909090906</v>
      </c>
    </row>
    <row r="24" spans="2:36" x14ac:dyDescent="0.3">
      <c r="B24" s="92"/>
      <c r="C24" s="50" t="s">
        <v>29</v>
      </c>
      <c r="D24" s="51"/>
      <c r="E24" s="51"/>
      <c r="F24" s="51"/>
      <c r="G24" s="51"/>
      <c r="H24" s="51"/>
      <c r="I24" s="51"/>
      <c r="J24" s="52"/>
      <c r="K24" s="52"/>
      <c r="L24" s="53"/>
      <c r="M24" s="54"/>
      <c r="N24" s="55"/>
      <c r="O24" s="55">
        <v>17680000</v>
      </c>
      <c r="P24" s="55">
        <f t="shared" si="6"/>
        <v>17680000</v>
      </c>
    </row>
    <row r="25" spans="2:36" x14ac:dyDescent="0.3">
      <c r="B25" s="92"/>
      <c r="C25" s="1" t="s">
        <v>30</v>
      </c>
      <c r="D25" s="41"/>
      <c r="E25" s="41"/>
      <c r="F25" s="41"/>
      <c r="G25" s="41"/>
      <c r="H25" s="41"/>
      <c r="I25" s="41"/>
      <c r="J25" s="42"/>
      <c r="K25" s="42"/>
      <c r="L25" s="43"/>
      <c r="M25" s="44"/>
      <c r="N25" s="45"/>
      <c r="O25" s="45">
        <v>9003800</v>
      </c>
      <c r="P25" s="45">
        <f t="shared" si="6"/>
        <v>9003800</v>
      </c>
    </row>
    <row r="26" spans="2:36" x14ac:dyDescent="0.3">
      <c r="B26" s="92"/>
      <c r="C26" s="1" t="s">
        <v>31</v>
      </c>
      <c r="D26" s="41">
        <f t="shared" ref="D26:O26" si="9">D24+D25</f>
        <v>0</v>
      </c>
      <c r="E26" s="41">
        <f t="shared" si="9"/>
        <v>0</v>
      </c>
      <c r="F26" s="41">
        <f t="shared" si="9"/>
        <v>0</v>
      </c>
      <c r="G26" s="41">
        <f t="shared" si="9"/>
        <v>0</v>
      </c>
      <c r="H26" s="41">
        <f t="shared" si="9"/>
        <v>0</v>
      </c>
      <c r="I26" s="41">
        <f t="shared" si="9"/>
        <v>0</v>
      </c>
      <c r="J26" s="42">
        <f t="shared" si="9"/>
        <v>0</v>
      </c>
      <c r="K26" s="42">
        <f t="shared" si="9"/>
        <v>0</v>
      </c>
      <c r="L26" s="43">
        <f t="shared" si="9"/>
        <v>0</v>
      </c>
      <c r="M26" s="44">
        <f t="shared" si="9"/>
        <v>0</v>
      </c>
      <c r="N26" s="45">
        <f t="shared" si="9"/>
        <v>0</v>
      </c>
      <c r="O26" s="45">
        <f t="shared" si="9"/>
        <v>26683800</v>
      </c>
      <c r="P26" s="45">
        <f t="shared" si="6"/>
        <v>26683800</v>
      </c>
    </row>
    <row r="27" spans="2:36" x14ac:dyDescent="0.3">
      <c r="B27" s="92"/>
      <c r="C27" s="68" t="s">
        <v>28</v>
      </c>
      <c r="D27" s="69">
        <f t="shared" ref="D27:O27" si="10">D26-D23</f>
        <v>0</v>
      </c>
      <c r="E27" s="69">
        <f t="shared" si="10"/>
        <v>0</v>
      </c>
      <c r="F27" s="69">
        <f t="shared" si="10"/>
        <v>0</v>
      </c>
      <c r="G27" s="69">
        <f t="shared" si="10"/>
        <v>0</v>
      </c>
      <c r="H27" s="69">
        <f t="shared" si="10"/>
        <v>0</v>
      </c>
      <c r="I27" s="69">
        <f t="shared" si="10"/>
        <v>0</v>
      </c>
      <c r="J27" s="69">
        <f t="shared" si="10"/>
        <v>0</v>
      </c>
      <c r="K27" s="69">
        <f t="shared" si="10"/>
        <v>0</v>
      </c>
      <c r="L27" s="70">
        <f t="shared" si="10"/>
        <v>0</v>
      </c>
      <c r="M27" s="71">
        <f t="shared" si="10"/>
        <v>0</v>
      </c>
      <c r="N27" s="72">
        <f t="shared" si="10"/>
        <v>0</v>
      </c>
      <c r="O27" s="72">
        <f t="shared" si="10"/>
        <v>-3269290.9090909101</v>
      </c>
      <c r="P27" s="72">
        <f t="shared" si="6"/>
        <v>-3269290.9090909101</v>
      </c>
    </row>
    <row r="28" spans="2:36" x14ac:dyDescent="0.3">
      <c r="B28" s="93" t="s">
        <v>3</v>
      </c>
      <c r="C28" s="16" t="s">
        <v>27</v>
      </c>
      <c r="D28" s="64">
        <f>D18+D23</f>
        <v>0</v>
      </c>
      <c r="E28" s="64">
        <f t="shared" ref="E28:O28" si="11">E18+E23</f>
        <v>0</v>
      </c>
      <c r="F28" s="64">
        <f t="shared" si="11"/>
        <v>0</v>
      </c>
      <c r="G28" s="64">
        <f t="shared" si="11"/>
        <v>0</v>
      </c>
      <c r="H28" s="64">
        <f t="shared" si="11"/>
        <v>0</v>
      </c>
      <c r="I28" s="64">
        <f t="shared" si="11"/>
        <v>0</v>
      </c>
      <c r="J28" s="64">
        <f t="shared" si="11"/>
        <v>0</v>
      </c>
      <c r="K28" s="64">
        <f t="shared" si="11"/>
        <v>0</v>
      </c>
      <c r="L28" s="65">
        <f t="shared" si="11"/>
        <v>0</v>
      </c>
      <c r="M28" s="66">
        <f t="shared" si="11"/>
        <v>0</v>
      </c>
      <c r="N28" s="67">
        <f t="shared" si="11"/>
        <v>0</v>
      </c>
      <c r="O28" s="67">
        <f t="shared" si="11"/>
        <v>69149990.909090906</v>
      </c>
      <c r="P28" s="67">
        <f t="shared" si="6"/>
        <v>69149990.909090906</v>
      </c>
    </row>
    <row r="29" spans="2:36" x14ac:dyDescent="0.3">
      <c r="B29" s="93"/>
      <c r="C29" s="59" t="s">
        <v>29</v>
      </c>
      <c r="D29" s="60">
        <f>D19+D24</f>
        <v>0</v>
      </c>
      <c r="E29" s="60">
        <f t="shared" ref="E29:O29" si="12">E19+E24</f>
        <v>0</v>
      </c>
      <c r="F29" s="60">
        <f t="shared" si="12"/>
        <v>0</v>
      </c>
      <c r="G29" s="60">
        <f t="shared" si="12"/>
        <v>0</v>
      </c>
      <c r="H29" s="60">
        <f t="shared" si="12"/>
        <v>0</v>
      </c>
      <c r="I29" s="60">
        <f t="shared" si="12"/>
        <v>0</v>
      </c>
      <c r="J29" s="60">
        <f t="shared" si="12"/>
        <v>0</v>
      </c>
      <c r="K29" s="60">
        <f t="shared" si="12"/>
        <v>0</v>
      </c>
      <c r="L29" s="61">
        <f t="shared" si="12"/>
        <v>0</v>
      </c>
      <c r="M29" s="62">
        <f t="shared" si="12"/>
        <v>0</v>
      </c>
      <c r="N29" s="63">
        <f t="shared" si="12"/>
        <v>0</v>
      </c>
      <c r="O29" s="63">
        <f t="shared" si="12"/>
        <v>33879270</v>
      </c>
      <c r="P29" s="63">
        <f t="shared" si="6"/>
        <v>33879270</v>
      </c>
    </row>
    <row r="30" spans="2:36" x14ac:dyDescent="0.3">
      <c r="B30" s="93"/>
      <c r="C30" s="16" t="s">
        <v>30</v>
      </c>
      <c r="D30" s="46">
        <f>D20+D25</f>
        <v>0</v>
      </c>
      <c r="E30" s="46">
        <f t="shared" ref="E30:O30" si="13">E20+E25</f>
        <v>0</v>
      </c>
      <c r="F30" s="46">
        <f t="shared" si="13"/>
        <v>0</v>
      </c>
      <c r="G30" s="46">
        <f t="shared" si="13"/>
        <v>0</v>
      </c>
      <c r="H30" s="46">
        <f t="shared" si="13"/>
        <v>0</v>
      </c>
      <c r="I30" s="46">
        <f t="shared" si="13"/>
        <v>0</v>
      </c>
      <c r="J30" s="46">
        <f t="shared" si="13"/>
        <v>0</v>
      </c>
      <c r="K30" s="46">
        <f t="shared" si="13"/>
        <v>0</v>
      </c>
      <c r="L30" s="47">
        <f t="shared" si="13"/>
        <v>0</v>
      </c>
      <c r="M30" s="48">
        <f t="shared" si="13"/>
        <v>0</v>
      </c>
      <c r="N30" s="49">
        <f t="shared" si="13"/>
        <v>0</v>
      </c>
      <c r="O30" s="49">
        <f t="shared" si="13"/>
        <v>18633800</v>
      </c>
      <c r="P30" s="49">
        <f t="shared" si="6"/>
        <v>18633800</v>
      </c>
    </row>
    <row r="31" spans="2:36" x14ac:dyDescent="0.3">
      <c r="B31" s="93"/>
      <c r="C31" s="16" t="s">
        <v>31</v>
      </c>
      <c r="D31" s="46">
        <f>D21+D26</f>
        <v>0</v>
      </c>
      <c r="E31" s="46">
        <f t="shared" ref="E31:O31" si="14">E21+E26</f>
        <v>0</v>
      </c>
      <c r="F31" s="46">
        <f t="shared" si="14"/>
        <v>0</v>
      </c>
      <c r="G31" s="46">
        <f t="shared" si="14"/>
        <v>0</v>
      </c>
      <c r="H31" s="46">
        <f t="shared" si="14"/>
        <v>0</v>
      </c>
      <c r="I31" s="46">
        <f t="shared" si="14"/>
        <v>0</v>
      </c>
      <c r="J31" s="46">
        <f t="shared" si="14"/>
        <v>0</v>
      </c>
      <c r="K31" s="46">
        <f t="shared" si="14"/>
        <v>0</v>
      </c>
      <c r="L31" s="47">
        <f t="shared" si="14"/>
        <v>0</v>
      </c>
      <c r="M31" s="48">
        <f t="shared" si="14"/>
        <v>0</v>
      </c>
      <c r="N31" s="49">
        <f t="shared" si="14"/>
        <v>0</v>
      </c>
      <c r="O31" s="49">
        <f t="shared" si="14"/>
        <v>52513070</v>
      </c>
      <c r="P31" s="49">
        <f t="shared" si="6"/>
        <v>52513070</v>
      </c>
    </row>
    <row r="32" spans="2:36" x14ac:dyDescent="0.3">
      <c r="B32" s="93"/>
      <c r="C32" s="68" t="s">
        <v>28</v>
      </c>
      <c r="D32" s="69">
        <f>D22+D27</f>
        <v>0</v>
      </c>
      <c r="E32" s="69">
        <f t="shared" ref="E32:O32" si="15">E22+E27</f>
        <v>0</v>
      </c>
      <c r="F32" s="69">
        <f t="shared" si="15"/>
        <v>0</v>
      </c>
      <c r="G32" s="69">
        <f t="shared" si="15"/>
        <v>0</v>
      </c>
      <c r="H32" s="69">
        <f t="shared" si="15"/>
        <v>0</v>
      </c>
      <c r="I32" s="69">
        <f t="shared" si="15"/>
        <v>0</v>
      </c>
      <c r="J32" s="69">
        <f t="shared" si="15"/>
        <v>0</v>
      </c>
      <c r="K32" s="69">
        <f t="shared" si="15"/>
        <v>0</v>
      </c>
      <c r="L32" s="70">
        <f t="shared" si="15"/>
        <v>0</v>
      </c>
      <c r="M32" s="71">
        <f t="shared" si="15"/>
        <v>0</v>
      </c>
      <c r="N32" s="72">
        <f t="shared" si="15"/>
        <v>0</v>
      </c>
      <c r="O32" s="72">
        <f t="shared" si="15"/>
        <v>-16636920.90909091</v>
      </c>
      <c r="P32" s="72">
        <f t="shared" si="6"/>
        <v>-16636920.90909091</v>
      </c>
    </row>
    <row r="33" spans="2:15" ht="27.4" customHeight="1" x14ac:dyDescent="0.3">
      <c r="B33" s="5"/>
      <c r="C33" s="84" t="s">
        <v>37</v>
      </c>
      <c r="D33" s="6"/>
      <c r="E33" s="6"/>
      <c r="O33" s="85">
        <f>(-O32)/O28</f>
        <v>0.24059180182630671</v>
      </c>
    </row>
    <row r="34" spans="2:15" ht="27.4" customHeight="1" x14ac:dyDescent="0.3">
      <c r="B34" s="4"/>
      <c r="C34" s="6"/>
      <c r="D34" s="6"/>
      <c r="E34" s="6"/>
    </row>
    <row r="35" spans="2:15" x14ac:dyDescent="0.3">
      <c r="B35" s="4"/>
      <c r="C35" s="6"/>
      <c r="D35" s="6"/>
      <c r="E35" s="6"/>
    </row>
    <row r="36" spans="2:15" x14ac:dyDescent="0.3">
      <c r="B36" s="5"/>
    </row>
    <row r="37" spans="2:15" x14ac:dyDescent="0.3">
      <c r="B37" s="4"/>
    </row>
    <row r="38" spans="2:15" x14ac:dyDescent="0.3">
      <c r="B38" s="4"/>
    </row>
  </sheetData>
  <mergeCells count="8">
    <mergeCell ref="B4:C4"/>
    <mergeCell ref="B17:C17"/>
    <mergeCell ref="B18:B22"/>
    <mergeCell ref="B23:B27"/>
    <mergeCell ref="B28:B32"/>
    <mergeCell ref="B5:B7"/>
    <mergeCell ref="B8:B10"/>
    <mergeCell ref="B11:B13"/>
  </mergeCells>
  <phoneticPr fontId="2" type="noConversion"/>
  <pageMargins left="0.7" right="0.7" top="0.75" bottom="0.75" header="0.3" footer="0.3"/>
  <ignoredErrors>
    <ignoredError sqref="P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D250-BFBB-4B09-AD5E-A675C15B4A4A}">
  <dimension ref="B1:AP40"/>
  <sheetViews>
    <sheetView showGridLines="0" tabSelected="1" topLeftCell="M1" zoomScaleNormal="100" workbookViewId="0">
      <selection activeCell="AB3" sqref="AB3"/>
    </sheetView>
  </sheetViews>
  <sheetFormatPr defaultRowHeight="16.5" x14ac:dyDescent="0.3"/>
  <cols>
    <col min="2" max="2" width="14.625" customWidth="1"/>
    <col min="3" max="3" width="14.75" customWidth="1"/>
    <col min="4" max="14" width="16.375" customWidth="1"/>
    <col min="15" max="15" width="17" customWidth="1"/>
    <col min="16" max="26" width="16.375" customWidth="1"/>
    <col min="27" max="28" width="17" customWidth="1"/>
    <col min="37" max="37" width="13.125" bestFit="1" customWidth="1"/>
    <col min="38" max="38" width="13.375" bestFit="1" customWidth="1"/>
    <col min="39" max="39" width="13.875" customWidth="1"/>
    <col min="40" max="40" width="12.125" bestFit="1" customWidth="1"/>
  </cols>
  <sheetData>
    <row r="1" spans="2:30" x14ac:dyDescent="0.3">
      <c r="F1" s="9"/>
      <c r="G1" s="7"/>
      <c r="H1" s="7"/>
      <c r="I1" s="7"/>
      <c r="J1" s="7"/>
      <c r="K1" s="7"/>
      <c r="R1" s="9"/>
      <c r="S1" s="7"/>
      <c r="T1" s="7"/>
      <c r="U1" s="7"/>
      <c r="V1" s="7"/>
      <c r="W1" s="7"/>
    </row>
    <row r="2" spans="2:30" ht="31.5" x14ac:dyDescent="0.3">
      <c r="B2" s="2" t="s">
        <v>41</v>
      </c>
      <c r="G2" s="8"/>
      <c r="H2" s="8"/>
      <c r="I2" s="8"/>
      <c r="J2" s="8"/>
      <c r="K2" s="8"/>
      <c r="S2" s="8"/>
      <c r="T2" s="8"/>
      <c r="U2" s="8"/>
      <c r="V2" s="8"/>
      <c r="W2" s="8"/>
    </row>
    <row r="4" spans="2:30" x14ac:dyDescent="0.3">
      <c r="B4" s="94" t="s">
        <v>7</v>
      </c>
      <c r="C4" s="94"/>
      <c r="D4" s="94" t="s">
        <v>38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 t="s">
        <v>39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</row>
    <row r="5" spans="2:30" x14ac:dyDescent="0.3">
      <c r="B5" s="94"/>
      <c r="C5" s="94"/>
      <c r="D5" s="90" t="s">
        <v>8</v>
      </c>
      <c r="E5" s="90" t="s">
        <v>9</v>
      </c>
      <c r="F5" s="90" t="s">
        <v>10</v>
      </c>
      <c r="G5" s="90" t="s">
        <v>11</v>
      </c>
      <c r="H5" s="90" t="s">
        <v>12</v>
      </c>
      <c r="I5" s="90" t="s">
        <v>13</v>
      </c>
      <c r="J5" s="90" t="s">
        <v>14</v>
      </c>
      <c r="K5" s="90" t="s">
        <v>15</v>
      </c>
      <c r="L5" s="90" t="s">
        <v>16</v>
      </c>
      <c r="M5" s="90" t="s">
        <v>17</v>
      </c>
      <c r="N5" s="90" t="s">
        <v>18</v>
      </c>
      <c r="O5" s="90" t="s">
        <v>25</v>
      </c>
      <c r="P5" s="90" t="s">
        <v>8</v>
      </c>
      <c r="Q5" s="90" t="s">
        <v>9</v>
      </c>
      <c r="R5" s="90" t="s">
        <v>10</v>
      </c>
      <c r="S5" s="90" t="s">
        <v>11</v>
      </c>
      <c r="T5" s="90" t="s">
        <v>12</v>
      </c>
      <c r="U5" s="90" t="s">
        <v>13</v>
      </c>
      <c r="V5" s="90" t="s">
        <v>14</v>
      </c>
      <c r="W5" s="90" t="s">
        <v>15</v>
      </c>
      <c r="X5" s="90" t="s">
        <v>16</v>
      </c>
      <c r="Y5" s="90" t="s">
        <v>17</v>
      </c>
      <c r="Z5" s="90" t="s">
        <v>18</v>
      </c>
      <c r="AA5" s="90" t="s">
        <v>25</v>
      </c>
      <c r="AB5" s="90" t="s">
        <v>40</v>
      </c>
    </row>
    <row r="6" spans="2:30" x14ac:dyDescent="0.3">
      <c r="B6" s="92" t="s">
        <v>1</v>
      </c>
      <c r="C6" s="1" t="s">
        <v>6</v>
      </c>
      <c r="D6" s="10">
        <v>1640652011</v>
      </c>
      <c r="E6" s="10">
        <v>1741008306</v>
      </c>
      <c r="F6" s="10">
        <v>2156635104</v>
      </c>
      <c r="G6" s="10">
        <v>2530843178</v>
      </c>
      <c r="H6" s="10">
        <v>2398699509</v>
      </c>
      <c r="I6" s="10">
        <v>2667219080</v>
      </c>
      <c r="J6" s="10">
        <v>2637426758</v>
      </c>
      <c r="K6" s="11">
        <v>2169360007</v>
      </c>
      <c r="L6" s="21">
        <v>3105564815</v>
      </c>
      <c r="M6" s="30">
        <v>1621443974</v>
      </c>
      <c r="N6" s="30">
        <v>746215306</v>
      </c>
      <c r="O6" s="30">
        <v>1804223046</v>
      </c>
      <c r="P6" s="10">
        <v>2447466737</v>
      </c>
      <c r="Q6" s="10">
        <v>1674213567</v>
      </c>
      <c r="R6" s="10">
        <v>1907300958</v>
      </c>
      <c r="S6" s="10">
        <v>2349855331</v>
      </c>
      <c r="T6" s="10">
        <v>2609565928</v>
      </c>
      <c r="U6" s="10">
        <v>2232552430</v>
      </c>
      <c r="V6" s="10">
        <v>2581068673</v>
      </c>
      <c r="W6" s="11"/>
      <c r="X6" s="21"/>
      <c r="Y6" s="30"/>
      <c r="Z6" s="30"/>
      <c r="AA6" s="30"/>
      <c r="AB6" s="10">
        <f>SUM(P6:AA6)</f>
        <v>15802023624</v>
      </c>
      <c r="AC6" s="27"/>
    </row>
    <row r="7" spans="2:30" x14ac:dyDescent="0.3">
      <c r="B7" s="92"/>
      <c r="C7" s="1" t="s">
        <v>4</v>
      </c>
      <c r="D7" s="12">
        <v>33810250</v>
      </c>
      <c r="E7" s="12">
        <v>38866700</v>
      </c>
      <c r="F7" s="12">
        <v>52327500</v>
      </c>
      <c r="G7" s="12">
        <v>50615550</v>
      </c>
      <c r="H7" s="12">
        <v>43776650</v>
      </c>
      <c r="I7" s="12">
        <v>33622300</v>
      </c>
      <c r="J7" s="13">
        <v>51158450</v>
      </c>
      <c r="K7" s="14">
        <v>37959905</v>
      </c>
      <c r="L7" s="22">
        <v>36221430</v>
      </c>
      <c r="M7" s="31">
        <v>17431285</v>
      </c>
      <c r="N7" s="31">
        <v>12998790</v>
      </c>
      <c r="O7" s="31">
        <v>16199270</v>
      </c>
      <c r="P7" s="12">
        <v>13349500</v>
      </c>
      <c r="Q7" s="12">
        <f>Q21</f>
        <v>10386205</v>
      </c>
      <c r="R7" s="12">
        <v>10696125</v>
      </c>
      <c r="S7" s="12">
        <v>7149765</v>
      </c>
      <c r="T7" s="12">
        <v>5217190</v>
      </c>
      <c r="U7" s="12">
        <v>5499750</v>
      </c>
      <c r="V7" s="13">
        <v>7046580</v>
      </c>
      <c r="W7" s="14"/>
      <c r="X7" s="22"/>
      <c r="Y7" s="31"/>
      <c r="Z7" s="31"/>
      <c r="AA7" s="31"/>
      <c r="AB7" s="13">
        <f>SUM(P7:AA7)</f>
        <v>59345115</v>
      </c>
      <c r="AC7" s="27"/>
      <c r="AD7" s="5"/>
    </row>
    <row r="8" spans="2:30" x14ac:dyDescent="0.3">
      <c r="B8" s="92"/>
      <c r="C8" s="1" t="s">
        <v>5</v>
      </c>
      <c r="D8" s="15">
        <f t="shared" ref="D8:O8" si="0">D7/D6</f>
        <v>2.0607813097057788E-2</v>
      </c>
      <c r="E8" s="15">
        <f t="shared" si="0"/>
        <v>2.2324247314647792E-2</v>
      </c>
      <c r="F8" s="15">
        <f t="shared" si="0"/>
        <v>2.4263492652487215E-2</v>
      </c>
      <c r="G8" s="15">
        <f t="shared" si="0"/>
        <v>1.9999480979299145E-2</v>
      </c>
      <c r="H8" s="15">
        <f t="shared" si="0"/>
        <v>1.8250160070383371E-2</v>
      </c>
      <c r="I8" s="15">
        <f t="shared" si="0"/>
        <v>1.2605751155619358E-2</v>
      </c>
      <c r="J8" s="15">
        <f t="shared" si="0"/>
        <v>1.939710736793852E-2</v>
      </c>
      <c r="K8" s="15">
        <f t="shared" si="0"/>
        <v>1.7498204483125238E-2</v>
      </c>
      <c r="L8" s="23">
        <f t="shared" si="0"/>
        <v>1.1663395278388354E-2</v>
      </c>
      <c r="M8" s="32">
        <f t="shared" si="0"/>
        <v>1.0750470123860104E-2</v>
      </c>
      <c r="N8" s="32">
        <f t="shared" si="0"/>
        <v>1.7419623928217845E-2</v>
      </c>
      <c r="O8" s="32">
        <f t="shared" si="0"/>
        <v>8.9785295869677078E-3</v>
      </c>
      <c r="P8" s="15">
        <f t="shared" ref="P8:AA8" si="1">P7/P6</f>
        <v>5.4544152932444944E-3</v>
      </c>
      <c r="Q8" s="15">
        <f t="shared" si="1"/>
        <v>6.2036320841736435E-3</v>
      </c>
      <c r="R8" s="15">
        <f t="shared" si="1"/>
        <v>5.6079901575763801E-3</v>
      </c>
      <c r="S8" s="15">
        <f t="shared" si="1"/>
        <v>3.0426405003227833E-3</v>
      </c>
      <c r="T8" s="15">
        <f t="shared" si="1"/>
        <v>1.9992558701126635E-3</v>
      </c>
      <c r="U8" s="15">
        <f t="shared" si="1"/>
        <v>2.4634359874809299E-3</v>
      </c>
      <c r="V8" s="15">
        <f t="shared" si="1"/>
        <v>2.7301017108582759E-3</v>
      </c>
      <c r="W8" s="15" t="e">
        <f t="shared" si="1"/>
        <v>#DIV/0!</v>
      </c>
      <c r="X8" s="23" t="e">
        <f t="shared" si="1"/>
        <v>#DIV/0!</v>
      </c>
      <c r="Y8" s="32" t="e">
        <f t="shared" si="1"/>
        <v>#DIV/0!</v>
      </c>
      <c r="Z8" s="32" t="e">
        <f t="shared" si="1"/>
        <v>#DIV/0!</v>
      </c>
      <c r="AA8" s="32" t="e">
        <f t="shared" si="1"/>
        <v>#DIV/0!</v>
      </c>
      <c r="AB8" s="86">
        <f>AB7/AB6</f>
        <v>3.7555389367895302E-3</v>
      </c>
      <c r="AD8" s="4"/>
    </row>
    <row r="9" spans="2:30" x14ac:dyDescent="0.3">
      <c r="B9" s="92" t="s">
        <v>2</v>
      </c>
      <c r="C9" s="1" t="s">
        <v>6</v>
      </c>
      <c r="D9" s="10">
        <v>1252005921</v>
      </c>
      <c r="E9" s="10">
        <v>1222168620</v>
      </c>
      <c r="F9" s="10">
        <v>1551240140</v>
      </c>
      <c r="G9" s="10">
        <v>1540711742</v>
      </c>
      <c r="H9" s="10">
        <v>2005928033</v>
      </c>
      <c r="I9" s="10">
        <v>1774416514</v>
      </c>
      <c r="J9" s="10">
        <v>2028261361</v>
      </c>
      <c r="K9" s="10">
        <v>2082837338</v>
      </c>
      <c r="L9" s="21">
        <v>2001521951</v>
      </c>
      <c r="M9" s="30">
        <v>1476514959</v>
      </c>
      <c r="N9" s="30">
        <v>1341905442</v>
      </c>
      <c r="O9" s="30">
        <v>1323273822</v>
      </c>
      <c r="P9" s="10">
        <v>1880373941</v>
      </c>
      <c r="Q9" s="10">
        <v>1588806376</v>
      </c>
      <c r="R9" s="10">
        <v>1959128970</v>
      </c>
      <c r="S9" s="10">
        <v>2369054652</v>
      </c>
      <c r="T9" s="10">
        <v>2105751461</v>
      </c>
      <c r="U9" s="10">
        <v>2095516400</v>
      </c>
      <c r="V9" s="10">
        <v>2536627026</v>
      </c>
      <c r="W9" s="10"/>
      <c r="X9" s="21"/>
      <c r="Y9" s="30"/>
      <c r="Z9" s="30"/>
      <c r="AA9" s="30"/>
      <c r="AB9" s="10">
        <f>SUM(P9:AA9)</f>
        <v>14535258826</v>
      </c>
      <c r="AC9" s="27"/>
      <c r="AD9" s="4"/>
    </row>
    <row r="10" spans="2:30" x14ac:dyDescent="0.3">
      <c r="B10" s="92"/>
      <c r="C10" s="1" t="s">
        <v>4</v>
      </c>
      <c r="D10" s="12">
        <v>9162000</v>
      </c>
      <c r="E10" s="12">
        <v>6438000</v>
      </c>
      <c r="F10" s="12">
        <v>7431000</v>
      </c>
      <c r="G10" s="12">
        <v>12872000</v>
      </c>
      <c r="H10" s="12">
        <v>14916000</v>
      </c>
      <c r="I10" s="12">
        <v>19897000</v>
      </c>
      <c r="J10" s="13">
        <v>34652000</v>
      </c>
      <c r="K10" s="13">
        <v>40966000</v>
      </c>
      <c r="L10" s="22">
        <v>45525000</v>
      </c>
      <c r="M10" s="31">
        <v>20355000</v>
      </c>
      <c r="N10" s="31">
        <v>6924000</v>
      </c>
      <c r="O10" s="31">
        <v>17680000</v>
      </c>
      <c r="P10" s="12">
        <v>19056000</v>
      </c>
      <c r="Q10" s="12">
        <f>Q26</f>
        <v>16219000</v>
      </c>
      <c r="R10" s="12">
        <v>18798000</v>
      </c>
      <c r="S10" s="12">
        <v>25775000</v>
      </c>
      <c r="T10" s="12">
        <v>23130000</v>
      </c>
      <c r="U10" s="12">
        <v>22756000</v>
      </c>
      <c r="V10" s="13">
        <v>26445000</v>
      </c>
      <c r="W10" s="13"/>
      <c r="X10" s="22"/>
      <c r="Y10" s="31"/>
      <c r="Z10" s="31"/>
      <c r="AA10" s="31"/>
      <c r="AB10" s="13">
        <f>SUM(P10:AA10)</f>
        <v>152179000</v>
      </c>
      <c r="AC10" s="27"/>
      <c r="AD10" s="5"/>
    </row>
    <row r="11" spans="2:30" x14ac:dyDescent="0.3">
      <c r="B11" s="92"/>
      <c r="C11" s="1" t="s">
        <v>5</v>
      </c>
      <c r="D11" s="15">
        <f t="shared" ref="D11:O11" si="2">D10/D9</f>
        <v>7.3178567659505506E-3</v>
      </c>
      <c r="E11" s="15">
        <f t="shared" si="2"/>
        <v>5.2676855669882934E-3</v>
      </c>
      <c r="F11" s="15">
        <f t="shared" si="2"/>
        <v>4.7903608270477068E-3</v>
      </c>
      <c r="G11" s="15">
        <f t="shared" si="2"/>
        <v>8.3545803209696054E-3</v>
      </c>
      <c r="H11" s="15">
        <f t="shared" si="2"/>
        <v>7.4359596927772728E-3</v>
      </c>
      <c r="I11" s="15">
        <f t="shared" si="2"/>
        <v>1.1213263539318029E-2</v>
      </c>
      <c r="J11" s="15">
        <f t="shared" si="2"/>
        <v>1.7084583213139461E-2</v>
      </c>
      <c r="K11" s="15">
        <f t="shared" si="2"/>
        <v>1.9668362599710606E-2</v>
      </c>
      <c r="L11" s="23">
        <f t="shared" si="2"/>
        <v>2.2745191466551146E-2</v>
      </c>
      <c r="M11" s="32">
        <f t="shared" si="2"/>
        <v>1.378584068920361E-2</v>
      </c>
      <c r="N11" s="32">
        <f t="shared" si="2"/>
        <v>5.1598270513608961E-3</v>
      </c>
      <c r="O11" s="32">
        <f t="shared" si="2"/>
        <v>1.3360802357049877E-2</v>
      </c>
      <c r="P11" s="15">
        <f t="shared" ref="P11:AA11" si="3">P10/P9</f>
        <v>1.0134154480925132E-2</v>
      </c>
      <c r="Q11" s="15">
        <f t="shared" si="3"/>
        <v>1.0208292366520563E-2</v>
      </c>
      <c r="R11" s="15">
        <f t="shared" si="3"/>
        <v>9.5950804096373507E-3</v>
      </c>
      <c r="S11" s="15">
        <f t="shared" si="3"/>
        <v>1.0879867198606105E-2</v>
      </c>
      <c r="T11" s="15">
        <f t="shared" si="3"/>
        <v>1.0984202280460867E-2</v>
      </c>
      <c r="U11" s="15">
        <f t="shared" si="3"/>
        <v>1.0859375760552388E-2</v>
      </c>
      <c r="V11" s="15">
        <f t="shared" si="3"/>
        <v>1.0425261470820582E-2</v>
      </c>
      <c r="W11" s="15" t="e">
        <f t="shared" si="3"/>
        <v>#DIV/0!</v>
      </c>
      <c r="X11" s="23" t="e">
        <f t="shared" si="3"/>
        <v>#DIV/0!</v>
      </c>
      <c r="Y11" s="32" t="e">
        <f t="shared" si="3"/>
        <v>#DIV/0!</v>
      </c>
      <c r="Z11" s="32" t="e">
        <f t="shared" si="3"/>
        <v>#DIV/0!</v>
      </c>
      <c r="AA11" s="32" t="e">
        <f t="shared" si="3"/>
        <v>#DIV/0!</v>
      </c>
      <c r="AB11" s="86">
        <f>AB10/AB9</f>
        <v>1.0469645007475837E-2</v>
      </c>
      <c r="AD11" s="4"/>
    </row>
    <row r="12" spans="2:30" x14ac:dyDescent="0.3">
      <c r="B12" s="93" t="s">
        <v>3</v>
      </c>
      <c r="C12" s="16" t="s">
        <v>6</v>
      </c>
      <c r="D12" s="17">
        <f t="shared" ref="D12:AB13" si="4">D6+D9</f>
        <v>2892657932</v>
      </c>
      <c r="E12" s="17">
        <f t="shared" si="4"/>
        <v>2963176926</v>
      </c>
      <c r="F12" s="17">
        <f t="shared" si="4"/>
        <v>3707875244</v>
      </c>
      <c r="G12" s="17">
        <f t="shared" si="4"/>
        <v>4071554920</v>
      </c>
      <c r="H12" s="17">
        <f t="shared" si="4"/>
        <v>4404627542</v>
      </c>
      <c r="I12" s="17">
        <f t="shared" si="4"/>
        <v>4441635594</v>
      </c>
      <c r="J12" s="17">
        <f t="shared" si="4"/>
        <v>4665688119</v>
      </c>
      <c r="K12" s="17">
        <f t="shared" si="4"/>
        <v>4252197345</v>
      </c>
      <c r="L12" s="24">
        <f t="shared" si="4"/>
        <v>5107086766</v>
      </c>
      <c r="M12" s="33">
        <f t="shared" si="4"/>
        <v>3097958933</v>
      </c>
      <c r="N12" s="33">
        <f t="shared" si="4"/>
        <v>2088120748</v>
      </c>
      <c r="O12" s="33">
        <f t="shared" si="4"/>
        <v>3127496868</v>
      </c>
      <c r="P12" s="17">
        <f t="shared" ref="P12:AA12" si="5">P6+P9</f>
        <v>4327840678</v>
      </c>
      <c r="Q12" s="17">
        <f t="shared" si="5"/>
        <v>3263019943</v>
      </c>
      <c r="R12" s="17">
        <f t="shared" si="5"/>
        <v>3866429928</v>
      </c>
      <c r="S12" s="17">
        <f t="shared" si="5"/>
        <v>4718909983</v>
      </c>
      <c r="T12" s="17">
        <f t="shared" si="5"/>
        <v>4715317389</v>
      </c>
      <c r="U12" s="17">
        <f t="shared" si="5"/>
        <v>4328068830</v>
      </c>
      <c r="V12" s="17">
        <f t="shared" si="5"/>
        <v>5117695699</v>
      </c>
      <c r="W12" s="17">
        <f t="shared" si="5"/>
        <v>0</v>
      </c>
      <c r="X12" s="24">
        <f t="shared" si="5"/>
        <v>0</v>
      </c>
      <c r="Y12" s="33">
        <f t="shared" si="5"/>
        <v>0</v>
      </c>
      <c r="Z12" s="33">
        <f t="shared" si="5"/>
        <v>0</v>
      </c>
      <c r="AA12" s="33">
        <f t="shared" si="5"/>
        <v>0</v>
      </c>
      <c r="AB12" s="87">
        <f t="shared" si="4"/>
        <v>30337282450</v>
      </c>
      <c r="AC12" s="27"/>
    </row>
    <row r="13" spans="2:30" x14ac:dyDescent="0.3">
      <c r="B13" s="93"/>
      <c r="C13" s="16" t="s">
        <v>4</v>
      </c>
      <c r="D13" s="18">
        <f t="shared" si="4"/>
        <v>42972250</v>
      </c>
      <c r="E13" s="18">
        <f t="shared" si="4"/>
        <v>45304700</v>
      </c>
      <c r="F13" s="18">
        <f t="shared" si="4"/>
        <v>59758500</v>
      </c>
      <c r="G13" s="18">
        <f t="shared" si="4"/>
        <v>63487550</v>
      </c>
      <c r="H13" s="18">
        <f t="shared" si="4"/>
        <v>58692650</v>
      </c>
      <c r="I13" s="18">
        <f t="shared" si="4"/>
        <v>53519300</v>
      </c>
      <c r="J13" s="18">
        <f t="shared" si="4"/>
        <v>85810450</v>
      </c>
      <c r="K13" s="18">
        <f t="shared" si="4"/>
        <v>78925905</v>
      </c>
      <c r="L13" s="25">
        <f t="shared" si="4"/>
        <v>81746430</v>
      </c>
      <c r="M13" s="34">
        <f t="shared" si="4"/>
        <v>37786285</v>
      </c>
      <c r="N13" s="34">
        <f t="shared" si="4"/>
        <v>19922790</v>
      </c>
      <c r="O13" s="34">
        <f t="shared" si="4"/>
        <v>33879270</v>
      </c>
      <c r="P13" s="18">
        <f t="shared" ref="P13:AA13" si="6">P7+P10</f>
        <v>32405500</v>
      </c>
      <c r="Q13" s="18">
        <f t="shared" si="6"/>
        <v>26605205</v>
      </c>
      <c r="R13" s="18">
        <f t="shared" si="6"/>
        <v>29494125</v>
      </c>
      <c r="S13" s="18">
        <f t="shared" si="6"/>
        <v>32924765</v>
      </c>
      <c r="T13" s="18">
        <f t="shared" si="6"/>
        <v>28347190</v>
      </c>
      <c r="U13" s="18">
        <f t="shared" si="6"/>
        <v>28255750</v>
      </c>
      <c r="V13" s="18">
        <f t="shared" si="6"/>
        <v>33491580</v>
      </c>
      <c r="W13" s="18">
        <f t="shared" si="6"/>
        <v>0</v>
      </c>
      <c r="X13" s="25">
        <f t="shared" si="6"/>
        <v>0</v>
      </c>
      <c r="Y13" s="34">
        <f t="shared" si="6"/>
        <v>0</v>
      </c>
      <c r="Z13" s="34">
        <f t="shared" si="6"/>
        <v>0</v>
      </c>
      <c r="AA13" s="34">
        <f t="shared" si="6"/>
        <v>0</v>
      </c>
      <c r="AB13" s="88">
        <f t="shared" si="4"/>
        <v>211524115</v>
      </c>
      <c r="AC13" s="27"/>
    </row>
    <row r="14" spans="2:30" x14ac:dyDescent="0.3">
      <c r="B14" s="93"/>
      <c r="C14" s="16" t="s">
        <v>5</v>
      </c>
      <c r="D14" s="19">
        <f t="shared" ref="D14:O14" si="7">D13/D12</f>
        <v>1.4855627941561948E-2</v>
      </c>
      <c r="E14" s="19">
        <f t="shared" si="7"/>
        <v>1.5289232175939265E-2</v>
      </c>
      <c r="F14" s="19">
        <f t="shared" si="7"/>
        <v>1.611664256954164E-2</v>
      </c>
      <c r="G14" s="19">
        <f t="shared" si="7"/>
        <v>1.5592949437606996E-2</v>
      </c>
      <c r="H14" s="19">
        <f t="shared" si="7"/>
        <v>1.3325224310192082E-2</v>
      </c>
      <c r="I14" s="19">
        <f t="shared" si="7"/>
        <v>1.2049457653008893E-2</v>
      </c>
      <c r="J14" s="19">
        <f t="shared" si="7"/>
        <v>1.8391810127761348E-2</v>
      </c>
      <c r="K14" s="19">
        <f t="shared" si="7"/>
        <v>1.856120461878516E-2</v>
      </c>
      <c r="L14" s="26">
        <f t="shared" si="7"/>
        <v>1.6006469783168747E-2</v>
      </c>
      <c r="M14" s="35">
        <f t="shared" si="7"/>
        <v>1.2197154906572159E-2</v>
      </c>
      <c r="N14" s="35">
        <f t="shared" si="7"/>
        <v>9.5410143398469791E-3</v>
      </c>
      <c r="O14" s="35">
        <f t="shared" si="7"/>
        <v>1.0832711088105877E-2</v>
      </c>
      <c r="P14" s="19">
        <f t="shared" ref="P14:AA14" si="8">P13/P12</f>
        <v>7.4876832145714216E-3</v>
      </c>
      <c r="Q14" s="19">
        <f t="shared" si="8"/>
        <v>8.1535526796502941E-3</v>
      </c>
      <c r="R14" s="19">
        <f t="shared" si="8"/>
        <v>7.6282579923170925E-3</v>
      </c>
      <c r="S14" s="19">
        <f t="shared" si="8"/>
        <v>6.9771970897118934E-3</v>
      </c>
      <c r="T14" s="19">
        <f t="shared" si="8"/>
        <v>6.0117246966511677E-3</v>
      </c>
      <c r="U14" s="19">
        <f t="shared" si="8"/>
        <v>6.5284890582481799E-3</v>
      </c>
      <c r="V14" s="19">
        <f t="shared" si="8"/>
        <v>6.5442695247676158E-3</v>
      </c>
      <c r="W14" s="19" t="e">
        <f t="shared" si="8"/>
        <v>#DIV/0!</v>
      </c>
      <c r="X14" s="26" t="e">
        <f t="shared" si="8"/>
        <v>#DIV/0!</v>
      </c>
      <c r="Y14" s="35" t="e">
        <f t="shared" si="8"/>
        <v>#DIV/0!</v>
      </c>
      <c r="Z14" s="35" t="e">
        <f t="shared" si="8"/>
        <v>#DIV/0!</v>
      </c>
      <c r="AA14" s="35" t="e">
        <f t="shared" si="8"/>
        <v>#DIV/0!</v>
      </c>
      <c r="AB14" s="89">
        <f>AB13/AB12</f>
        <v>6.9724147292566738E-3</v>
      </c>
    </row>
    <row r="16" spans="2:30" ht="31.5" x14ac:dyDescent="0.3">
      <c r="B16" s="2" t="s">
        <v>42</v>
      </c>
    </row>
    <row r="17" spans="2:42" x14ac:dyDescent="0.3">
      <c r="AO17" s="7"/>
      <c r="AP17" s="7"/>
    </row>
    <row r="18" spans="2:42" x14ac:dyDescent="0.3">
      <c r="B18" s="94" t="s">
        <v>7</v>
      </c>
      <c r="C18" s="94"/>
      <c r="D18" s="94" t="s">
        <v>38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 t="s">
        <v>39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O18" s="7"/>
      <c r="AP18" s="7"/>
    </row>
    <row r="19" spans="2:42" x14ac:dyDescent="0.3">
      <c r="B19" s="94"/>
      <c r="C19" s="94"/>
      <c r="D19" s="90" t="s">
        <v>8</v>
      </c>
      <c r="E19" s="90" t="s">
        <v>9</v>
      </c>
      <c r="F19" s="90" t="s">
        <v>10</v>
      </c>
      <c r="G19" s="90" t="s">
        <v>11</v>
      </c>
      <c r="H19" s="90" t="s">
        <v>12</v>
      </c>
      <c r="I19" s="90" t="s">
        <v>13</v>
      </c>
      <c r="J19" s="90" t="s">
        <v>14</v>
      </c>
      <c r="K19" s="90" t="s">
        <v>15</v>
      </c>
      <c r="L19" s="90" t="s">
        <v>16</v>
      </c>
      <c r="M19" s="90" t="s">
        <v>17</v>
      </c>
      <c r="N19" s="90" t="s">
        <v>18</v>
      </c>
      <c r="O19" s="90" t="s">
        <v>25</v>
      </c>
      <c r="P19" s="90" t="s">
        <v>8</v>
      </c>
      <c r="Q19" s="90" t="s">
        <v>9</v>
      </c>
      <c r="R19" s="90" t="s">
        <v>10</v>
      </c>
      <c r="S19" s="90" t="s">
        <v>11</v>
      </c>
      <c r="T19" s="90" t="s">
        <v>12</v>
      </c>
      <c r="U19" s="90" t="s">
        <v>13</v>
      </c>
      <c r="V19" s="90" t="s">
        <v>14</v>
      </c>
      <c r="W19" s="90" t="s">
        <v>15</v>
      </c>
      <c r="X19" s="90" t="s">
        <v>16</v>
      </c>
      <c r="Y19" s="90" t="s">
        <v>17</v>
      </c>
      <c r="Z19" s="90" t="s">
        <v>18</v>
      </c>
      <c r="AA19" s="90" t="s">
        <v>25</v>
      </c>
      <c r="AB19" s="90" t="s">
        <v>40</v>
      </c>
      <c r="AO19" s="7"/>
      <c r="AP19" s="7"/>
    </row>
    <row r="20" spans="2:42" x14ac:dyDescent="0.3">
      <c r="B20" s="92" t="s">
        <v>1</v>
      </c>
      <c r="C20" s="1" t="s">
        <v>27</v>
      </c>
      <c r="D20" s="28"/>
      <c r="E20" s="28"/>
      <c r="F20" s="28"/>
      <c r="G20" s="28"/>
      <c r="H20" s="28"/>
      <c r="I20" s="28"/>
      <c r="J20" s="28"/>
      <c r="K20" s="28"/>
      <c r="L20" s="56"/>
      <c r="M20" s="57"/>
      <c r="N20" s="58"/>
      <c r="O20" s="58">
        <v>39196900</v>
      </c>
      <c r="P20" s="28">
        <v>32018800</v>
      </c>
      <c r="Q20" s="28">
        <v>48897100</v>
      </c>
      <c r="R20" s="28">
        <v>44137200</v>
      </c>
      <c r="S20" s="28">
        <v>58015200</v>
      </c>
      <c r="T20" s="28">
        <v>62406200</v>
      </c>
      <c r="U20" s="28">
        <v>61015100</v>
      </c>
      <c r="V20" s="28">
        <v>53145600</v>
      </c>
      <c r="W20" s="28"/>
      <c r="X20" s="56"/>
      <c r="Y20" s="57"/>
      <c r="Z20" s="58"/>
      <c r="AA20" s="58"/>
      <c r="AB20" s="58">
        <f>SUM(P20:AA20)</f>
        <v>359635200</v>
      </c>
      <c r="AO20" s="7"/>
      <c r="AP20" s="7"/>
    </row>
    <row r="21" spans="2:42" x14ac:dyDescent="0.3">
      <c r="B21" s="92"/>
      <c r="C21" s="50" t="s">
        <v>4</v>
      </c>
      <c r="D21" s="51"/>
      <c r="E21" s="51"/>
      <c r="F21" s="51"/>
      <c r="G21" s="51"/>
      <c r="H21" s="51"/>
      <c r="I21" s="51"/>
      <c r="J21" s="52"/>
      <c r="K21" s="52"/>
      <c r="L21" s="53"/>
      <c r="M21" s="54"/>
      <c r="N21" s="55"/>
      <c r="O21" s="55">
        <v>16199270</v>
      </c>
      <c r="P21" s="51">
        <v>13349500</v>
      </c>
      <c r="Q21" s="51">
        <v>10386205</v>
      </c>
      <c r="R21" s="51">
        <f>R7</f>
        <v>10696125</v>
      </c>
      <c r="S21" s="51">
        <f>S7</f>
        <v>7149765</v>
      </c>
      <c r="T21" s="51">
        <v>5217190</v>
      </c>
      <c r="U21" s="51">
        <v>5499750</v>
      </c>
      <c r="V21" s="52">
        <v>7046580</v>
      </c>
      <c r="W21" s="52"/>
      <c r="X21" s="53"/>
      <c r="Y21" s="54"/>
      <c r="Z21" s="55"/>
      <c r="AA21" s="55"/>
      <c r="AB21" s="55">
        <f t="shared" ref="AB21:AB34" si="9">SUM(P21:AA21)</f>
        <v>59345115</v>
      </c>
      <c r="AL21" s="7"/>
      <c r="AM21" s="7"/>
      <c r="AN21" s="7"/>
      <c r="AO21" s="7"/>
      <c r="AP21" s="7"/>
    </row>
    <row r="22" spans="2:42" x14ac:dyDescent="0.3">
      <c r="B22" s="92"/>
      <c r="C22" s="1" t="s">
        <v>19</v>
      </c>
      <c r="D22" s="41"/>
      <c r="E22" s="41"/>
      <c r="F22" s="41"/>
      <c r="G22" s="41"/>
      <c r="H22" s="41"/>
      <c r="I22" s="41"/>
      <c r="J22" s="42"/>
      <c r="K22" s="42"/>
      <c r="L22" s="43"/>
      <c r="M22" s="44"/>
      <c r="N22" s="45"/>
      <c r="O22" s="45">
        <v>9630000</v>
      </c>
      <c r="P22" s="41">
        <v>8153200</v>
      </c>
      <c r="Q22" s="41">
        <v>19340200</v>
      </c>
      <c r="R22" s="41">
        <v>16171100</v>
      </c>
      <c r="S22" s="41">
        <v>22108812</v>
      </c>
      <c r="T22" s="41">
        <v>26231106</v>
      </c>
      <c r="U22" s="41">
        <v>21755151</v>
      </c>
      <c r="V22" s="42">
        <v>21377719</v>
      </c>
      <c r="W22" s="42"/>
      <c r="X22" s="43"/>
      <c r="Y22" s="44"/>
      <c r="Z22" s="45"/>
      <c r="AA22" s="45"/>
      <c r="AB22" s="45">
        <f t="shared" si="9"/>
        <v>135137288</v>
      </c>
      <c r="AK22" t="s">
        <v>43</v>
      </c>
      <c r="AL22" t="s">
        <v>27</v>
      </c>
      <c r="AM22" t="s">
        <v>35</v>
      </c>
    </row>
    <row r="23" spans="2:42" x14ac:dyDescent="0.3">
      <c r="B23" s="92"/>
      <c r="C23" s="1" t="s">
        <v>32</v>
      </c>
      <c r="D23" s="41">
        <f>D21+D22</f>
        <v>0</v>
      </c>
      <c r="E23" s="41">
        <f t="shared" ref="E23:O23" si="10">E21+E22</f>
        <v>0</v>
      </c>
      <c r="F23" s="41">
        <f t="shared" si="10"/>
        <v>0</v>
      </c>
      <c r="G23" s="41">
        <f t="shared" si="10"/>
        <v>0</v>
      </c>
      <c r="H23" s="41">
        <f t="shared" si="10"/>
        <v>0</v>
      </c>
      <c r="I23" s="41">
        <f t="shared" si="10"/>
        <v>0</v>
      </c>
      <c r="J23" s="42">
        <f t="shared" si="10"/>
        <v>0</v>
      </c>
      <c r="K23" s="42">
        <f t="shared" si="10"/>
        <v>0</v>
      </c>
      <c r="L23" s="43">
        <f t="shared" si="10"/>
        <v>0</v>
      </c>
      <c r="M23" s="44">
        <f t="shared" si="10"/>
        <v>0</v>
      </c>
      <c r="N23" s="44">
        <f t="shared" si="10"/>
        <v>0</v>
      </c>
      <c r="O23" s="45">
        <f t="shared" si="10"/>
        <v>25829270</v>
      </c>
      <c r="P23" s="41">
        <f>P21+P22</f>
        <v>21502700</v>
      </c>
      <c r="Q23" s="41">
        <v>29726405</v>
      </c>
      <c r="R23" s="41">
        <f t="shared" ref="R23:AA23" si="11">R21+R22</f>
        <v>26867225</v>
      </c>
      <c r="S23" s="41">
        <f t="shared" si="11"/>
        <v>29258577</v>
      </c>
      <c r="T23" s="41">
        <f t="shared" si="11"/>
        <v>31448296</v>
      </c>
      <c r="U23" s="41">
        <f t="shared" si="11"/>
        <v>27254901</v>
      </c>
      <c r="V23" s="42">
        <f t="shared" si="11"/>
        <v>28424299</v>
      </c>
      <c r="W23" s="42">
        <f t="shared" si="11"/>
        <v>0</v>
      </c>
      <c r="X23" s="43">
        <f t="shared" si="11"/>
        <v>0</v>
      </c>
      <c r="Y23" s="44">
        <f t="shared" si="11"/>
        <v>0</v>
      </c>
      <c r="Z23" s="45">
        <f t="shared" si="11"/>
        <v>0</v>
      </c>
      <c r="AA23" s="45">
        <f t="shared" si="11"/>
        <v>0</v>
      </c>
      <c r="AB23" s="45">
        <f t="shared" si="9"/>
        <v>194482403</v>
      </c>
      <c r="AK23" t="s">
        <v>33</v>
      </c>
      <c r="AL23" s="7">
        <v>61015100</v>
      </c>
      <c r="AM23" s="7">
        <v>27254901</v>
      </c>
      <c r="AN23" s="7">
        <f>AM23-AL23</f>
        <v>-33760199</v>
      </c>
    </row>
    <row r="24" spans="2:42" x14ac:dyDescent="0.3">
      <c r="B24" s="92"/>
      <c r="C24" s="68" t="s">
        <v>20</v>
      </c>
      <c r="D24" s="69">
        <f>D23-D20</f>
        <v>0</v>
      </c>
      <c r="E24" s="69">
        <f t="shared" ref="E24:O24" si="12">E23-E20</f>
        <v>0</v>
      </c>
      <c r="F24" s="69">
        <f t="shared" si="12"/>
        <v>0</v>
      </c>
      <c r="G24" s="69">
        <f t="shared" si="12"/>
        <v>0</v>
      </c>
      <c r="H24" s="69">
        <f t="shared" si="12"/>
        <v>0</v>
      </c>
      <c r="I24" s="69">
        <f t="shared" si="12"/>
        <v>0</v>
      </c>
      <c r="J24" s="69">
        <f t="shared" si="12"/>
        <v>0</v>
      </c>
      <c r="K24" s="69">
        <f t="shared" si="12"/>
        <v>0</v>
      </c>
      <c r="L24" s="70">
        <f t="shared" si="12"/>
        <v>0</v>
      </c>
      <c r="M24" s="71">
        <f t="shared" si="12"/>
        <v>0</v>
      </c>
      <c r="N24" s="72">
        <f t="shared" si="12"/>
        <v>0</v>
      </c>
      <c r="O24" s="72">
        <f t="shared" si="12"/>
        <v>-13367630</v>
      </c>
      <c r="P24" s="69">
        <f>P23-P20</f>
        <v>-10516100</v>
      </c>
      <c r="Q24" s="69">
        <f t="shared" ref="Q24:AA24" si="13">Q23-Q20</f>
        <v>-19170695</v>
      </c>
      <c r="R24" s="69">
        <f t="shared" si="13"/>
        <v>-17269975</v>
      </c>
      <c r="S24" s="69">
        <f t="shared" si="13"/>
        <v>-28756623</v>
      </c>
      <c r="T24" s="69">
        <f t="shared" si="13"/>
        <v>-30957904</v>
      </c>
      <c r="U24" s="69">
        <f t="shared" si="13"/>
        <v>-33760199</v>
      </c>
      <c r="V24" s="69">
        <f t="shared" si="13"/>
        <v>-24721301</v>
      </c>
      <c r="W24" s="69">
        <f t="shared" si="13"/>
        <v>0</v>
      </c>
      <c r="X24" s="70">
        <f t="shared" si="13"/>
        <v>0</v>
      </c>
      <c r="Y24" s="71">
        <f t="shared" si="13"/>
        <v>0</v>
      </c>
      <c r="Z24" s="72">
        <f t="shared" si="13"/>
        <v>0</v>
      </c>
      <c r="AA24" s="72">
        <f t="shared" si="13"/>
        <v>0</v>
      </c>
      <c r="AB24" s="72">
        <f t="shared" si="9"/>
        <v>-165152797</v>
      </c>
      <c r="AK24" t="s">
        <v>34</v>
      </c>
      <c r="AL24" s="7">
        <v>33746000</v>
      </c>
      <c r="AM24" s="7">
        <v>30280440</v>
      </c>
      <c r="AN24" s="7">
        <f>AM24-AL24</f>
        <v>-3465560</v>
      </c>
    </row>
    <row r="25" spans="2:42" x14ac:dyDescent="0.3">
      <c r="B25" s="92" t="s">
        <v>2</v>
      </c>
      <c r="C25" s="1" t="s">
        <v>27</v>
      </c>
      <c r="D25" s="28"/>
      <c r="E25" s="28"/>
      <c r="F25" s="28"/>
      <c r="G25" s="28"/>
      <c r="H25" s="28"/>
      <c r="I25" s="28"/>
      <c r="J25" s="28"/>
      <c r="K25" s="28"/>
      <c r="L25" s="56"/>
      <c r="M25" s="57"/>
      <c r="N25" s="58"/>
      <c r="O25" s="58">
        <v>29953090.90909091</v>
      </c>
      <c r="P25" s="28">
        <v>30074000</v>
      </c>
      <c r="Q25" s="28">
        <v>26369000</v>
      </c>
      <c r="R25" s="28">
        <v>27527000</v>
      </c>
      <c r="S25" s="28">
        <v>39090000</v>
      </c>
      <c r="T25" s="28">
        <v>35445000</v>
      </c>
      <c r="U25" s="28">
        <v>33746000</v>
      </c>
      <c r="V25" s="28">
        <v>37135000</v>
      </c>
      <c r="W25" s="28"/>
      <c r="X25" s="56"/>
      <c r="Y25" s="57"/>
      <c r="Z25" s="58"/>
      <c r="AA25" s="58"/>
      <c r="AB25" s="58">
        <f t="shared" si="9"/>
        <v>229386000</v>
      </c>
      <c r="AK25" t="s">
        <v>36</v>
      </c>
      <c r="AL25" s="7">
        <f>AL23+AL24</f>
        <v>94761100</v>
      </c>
      <c r="AM25" s="7">
        <f>AM23+AM24</f>
        <v>57535341</v>
      </c>
      <c r="AN25" s="7">
        <f>AM25-AL25</f>
        <v>-37225759</v>
      </c>
    </row>
    <row r="26" spans="2:42" x14ac:dyDescent="0.3">
      <c r="B26" s="92"/>
      <c r="C26" s="50" t="s">
        <v>29</v>
      </c>
      <c r="D26" s="51"/>
      <c r="E26" s="51"/>
      <c r="F26" s="51"/>
      <c r="G26" s="51"/>
      <c r="H26" s="51"/>
      <c r="I26" s="51"/>
      <c r="J26" s="52"/>
      <c r="K26" s="52"/>
      <c r="L26" s="53"/>
      <c r="M26" s="54"/>
      <c r="N26" s="55"/>
      <c r="O26" s="55">
        <v>17680000</v>
      </c>
      <c r="P26" s="51">
        <v>19056000</v>
      </c>
      <c r="Q26" s="51">
        <v>16219000</v>
      </c>
      <c r="R26" s="51">
        <f>R10</f>
        <v>18798000</v>
      </c>
      <c r="S26" s="51">
        <f>S10</f>
        <v>25775000</v>
      </c>
      <c r="T26" s="51">
        <v>23130000</v>
      </c>
      <c r="U26" s="51">
        <v>22756000</v>
      </c>
      <c r="V26" s="52">
        <v>26445000</v>
      </c>
      <c r="W26" s="52"/>
      <c r="X26" s="53"/>
      <c r="Y26" s="54"/>
      <c r="Z26" s="55"/>
      <c r="AA26" s="55"/>
      <c r="AB26" s="55">
        <f t="shared" si="9"/>
        <v>152179000</v>
      </c>
    </row>
    <row r="27" spans="2:42" x14ac:dyDescent="0.3">
      <c r="B27" s="92"/>
      <c r="C27" s="1" t="s">
        <v>30</v>
      </c>
      <c r="D27" s="41"/>
      <c r="E27" s="41"/>
      <c r="F27" s="41"/>
      <c r="G27" s="41"/>
      <c r="H27" s="41"/>
      <c r="I27" s="41"/>
      <c r="J27" s="42"/>
      <c r="K27" s="42"/>
      <c r="L27" s="43"/>
      <c r="M27" s="44"/>
      <c r="N27" s="45"/>
      <c r="O27" s="45">
        <v>9003800</v>
      </c>
      <c r="P27" s="41">
        <v>9001300</v>
      </c>
      <c r="Q27" s="41">
        <v>8773600</v>
      </c>
      <c r="R27" s="41">
        <v>6916800</v>
      </c>
      <c r="S27" s="41">
        <v>10795510</v>
      </c>
      <c r="T27" s="41">
        <v>9159150</v>
      </c>
      <c r="U27" s="41">
        <v>7524440</v>
      </c>
      <c r="V27" s="42">
        <v>6834630</v>
      </c>
      <c r="W27" s="42"/>
      <c r="X27" s="43"/>
      <c r="Y27" s="44"/>
      <c r="Z27" s="45"/>
      <c r="AA27" s="45"/>
      <c r="AB27" s="45">
        <f t="shared" si="9"/>
        <v>59005430</v>
      </c>
    </row>
    <row r="28" spans="2:42" x14ac:dyDescent="0.3">
      <c r="B28" s="92"/>
      <c r="C28" s="1" t="s">
        <v>31</v>
      </c>
      <c r="D28" s="41">
        <f>D26+D27</f>
        <v>0</v>
      </c>
      <c r="E28" s="41">
        <f t="shared" ref="E28:O28" si="14">E26+E27</f>
        <v>0</v>
      </c>
      <c r="F28" s="41">
        <f t="shared" si="14"/>
        <v>0</v>
      </c>
      <c r="G28" s="41">
        <f t="shared" si="14"/>
        <v>0</v>
      </c>
      <c r="H28" s="41">
        <f t="shared" si="14"/>
        <v>0</v>
      </c>
      <c r="I28" s="41">
        <f t="shared" si="14"/>
        <v>0</v>
      </c>
      <c r="J28" s="42">
        <f t="shared" si="14"/>
        <v>0</v>
      </c>
      <c r="K28" s="42">
        <f t="shared" si="14"/>
        <v>0</v>
      </c>
      <c r="L28" s="43">
        <f t="shared" si="14"/>
        <v>0</v>
      </c>
      <c r="M28" s="44">
        <f t="shared" si="14"/>
        <v>0</v>
      </c>
      <c r="N28" s="45">
        <f t="shared" si="14"/>
        <v>0</v>
      </c>
      <c r="O28" s="45">
        <f t="shared" si="14"/>
        <v>26683800</v>
      </c>
      <c r="P28" s="41">
        <f>P26+P27</f>
        <v>28057300</v>
      </c>
      <c r="Q28" s="41">
        <v>25120600</v>
      </c>
      <c r="R28" s="41">
        <f>R26+R27</f>
        <v>25714800</v>
      </c>
      <c r="S28" s="41">
        <f t="shared" ref="S28:AA28" si="15">S26+S27</f>
        <v>36570510</v>
      </c>
      <c r="T28" s="41">
        <f t="shared" si="15"/>
        <v>32289150</v>
      </c>
      <c r="U28" s="41">
        <f t="shared" si="15"/>
        <v>30280440</v>
      </c>
      <c r="V28" s="42">
        <f t="shared" si="15"/>
        <v>33279630</v>
      </c>
      <c r="W28" s="42">
        <f t="shared" si="15"/>
        <v>0</v>
      </c>
      <c r="X28" s="43">
        <f t="shared" si="15"/>
        <v>0</v>
      </c>
      <c r="Y28" s="44">
        <f t="shared" si="15"/>
        <v>0</v>
      </c>
      <c r="Z28" s="45">
        <f t="shared" si="15"/>
        <v>0</v>
      </c>
      <c r="AA28" s="45">
        <f t="shared" si="15"/>
        <v>0</v>
      </c>
      <c r="AB28" s="45">
        <f t="shared" si="9"/>
        <v>211312430</v>
      </c>
    </row>
    <row r="29" spans="2:42" x14ac:dyDescent="0.3">
      <c r="B29" s="92"/>
      <c r="C29" s="68" t="s">
        <v>28</v>
      </c>
      <c r="D29" s="69">
        <f>D28-D25</f>
        <v>0</v>
      </c>
      <c r="E29" s="69">
        <f t="shared" ref="E29:O29" si="16">E28-E25</f>
        <v>0</v>
      </c>
      <c r="F29" s="69">
        <f t="shared" si="16"/>
        <v>0</v>
      </c>
      <c r="G29" s="69">
        <f t="shared" si="16"/>
        <v>0</v>
      </c>
      <c r="H29" s="69">
        <f t="shared" si="16"/>
        <v>0</v>
      </c>
      <c r="I29" s="69">
        <f t="shared" si="16"/>
        <v>0</v>
      </c>
      <c r="J29" s="69">
        <f t="shared" si="16"/>
        <v>0</v>
      </c>
      <c r="K29" s="69">
        <f t="shared" si="16"/>
        <v>0</v>
      </c>
      <c r="L29" s="70">
        <f t="shared" si="16"/>
        <v>0</v>
      </c>
      <c r="M29" s="71">
        <f t="shared" si="16"/>
        <v>0</v>
      </c>
      <c r="N29" s="72">
        <f t="shared" si="16"/>
        <v>0</v>
      </c>
      <c r="O29" s="72">
        <f t="shared" si="16"/>
        <v>-3269290.9090909101</v>
      </c>
      <c r="P29" s="69">
        <f>P28-P25</f>
        <v>-2016700</v>
      </c>
      <c r="Q29" s="69">
        <f t="shared" ref="Q29:AA29" si="17">Q28-Q25</f>
        <v>-1248400</v>
      </c>
      <c r="R29" s="69">
        <f t="shared" si="17"/>
        <v>-1812200</v>
      </c>
      <c r="S29" s="69">
        <f t="shared" si="17"/>
        <v>-2519490</v>
      </c>
      <c r="T29" s="69">
        <f t="shared" si="17"/>
        <v>-3155850</v>
      </c>
      <c r="U29" s="69">
        <f t="shared" si="17"/>
        <v>-3465560</v>
      </c>
      <c r="V29" s="69">
        <f t="shared" si="17"/>
        <v>-3855370</v>
      </c>
      <c r="W29" s="69">
        <f t="shared" si="17"/>
        <v>0</v>
      </c>
      <c r="X29" s="70">
        <f t="shared" si="17"/>
        <v>0</v>
      </c>
      <c r="Y29" s="71">
        <f t="shared" si="17"/>
        <v>0</v>
      </c>
      <c r="Z29" s="72">
        <f t="shared" si="17"/>
        <v>0</v>
      </c>
      <c r="AA29" s="72">
        <f t="shared" si="17"/>
        <v>0</v>
      </c>
      <c r="AB29" s="72">
        <f>SUM(P29:AA29)</f>
        <v>-18073570</v>
      </c>
    </row>
    <row r="30" spans="2:42" x14ac:dyDescent="0.3">
      <c r="B30" s="93" t="s">
        <v>3</v>
      </c>
      <c r="C30" s="16" t="s">
        <v>27</v>
      </c>
      <c r="D30" s="64">
        <f>D20+D25</f>
        <v>0</v>
      </c>
      <c r="E30" s="64">
        <f t="shared" ref="E30:P34" si="18">E20+E25</f>
        <v>0</v>
      </c>
      <c r="F30" s="64">
        <f t="shared" si="18"/>
        <v>0</v>
      </c>
      <c r="G30" s="64">
        <f t="shared" si="18"/>
        <v>0</v>
      </c>
      <c r="H30" s="64">
        <f t="shared" si="18"/>
        <v>0</v>
      </c>
      <c r="I30" s="64">
        <f t="shared" si="18"/>
        <v>0</v>
      </c>
      <c r="J30" s="64">
        <f t="shared" si="18"/>
        <v>0</v>
      </c>
      <c r="K30" s="64">
        <f t="shared" si="18"/>
        <v>0</v>
      </c>
      <c r="L30" s="65">
        <f t="shared" si="18"/>
        <v>0</v>
      </c>
      <c r="M30" s="66">
        <f t="shared" si="18"/>
        <v>0</v>
      </c>
      <c r="N30" s="67">
        <f t="shared" si="18"/>
        <v>0</v>
      </c>
      <c r="O30" s="67">
        <f t="shared" si="18"/>
        <v>69149990.909090906</v>
      </c>
      <c r="P30" s="64">
        <f>P20+P25</f>
        <v>62092800</v>
      </c>
      <c r="Q30" s="64">
        <f t="shared" ref="Q30:AA30" si="19">Q20+Q25</f>
        <v>75266100</v>
      </c>
      <c r="R30" s="64">
        <f t="shared" si="19"/>
        <v>71664200</v>
      </c>
      <c r="S30" s="64">
        <f t="shared" si="19"/>
        <v>97105200</v>
      </c>
      <c r="T30" s="64">
        <f t="shared" si="19"/>
        <v>97851200</v>
      </c>
      <c r="U30" s="64">
        <f t="shared" si="19"/>
        <v>94761100</v>
      </c>
      <c r="V30" s="64">
        <f t="shared" si="19"/>
        <v>90280600</v>
      </c>
      <c r="W30" s="64">
        <f t="shared" si="19"/>
        <v>0</v>
      </c>
      <c r="X30" s="65">
        <f t="shared" si="19"/>
        <v>0</v>
      </c>
      <c r="Y30" s="66">
        <f t="shared" si="19"/>
        <v>0</v>
      </c>
      <c r="Z30" s="67">
        <f t="shared" si="19"/>
        <v>0</v>
      </c>
      <c r="AA30" s="67">
        <f t="shared" si="19"/>
        <v>0</v>
      </c>
      <c r="AB30" s="67">
        <f t="shared" si="9"/>
        <v>589021200</v>
      </c>
    </row>
    <row r="31" spans="2:42" x14ac:dyDescent="0.3">
      <c r="B31" s="93"/>
      <c r="C31" s="59" t="s">
        <v>29</v>
      </c>
      <c r="D31" s="60">
        <f>D21+D26</f>
        <v>0</v>
      </c>
      <c r="E31" s="60">
        <f t="shared" si="18"/>
        <v>0</v>
      </c>
      <c r="F31" s="60">
        <f t="shared" si="18"/>
        <v>0</v>
      </c>
      <c r="G31" s="60">
        <f t="shared" si="18"/>
        <v>0</v>
      </c>
      <c r="H31" s="60">
        <f t="shared" si="18"/>
        <v>0</v>
      </c>
      <c r="I31" s="60">
        <f t="shared" si="18"/>
        <v>0</v>
      </c>
      <c r="J31" s="60">
        <f t="shared" si="18"/>
        <v>0</v>
      </c>
      <c r="K31" s="60">
        <f t="shared" si="18"/>
        <v>0</v>
      </c>
      <c r="L31" s="61">
        <f t="shared" si="18"/>
        <v>0</v>
      </c>
      <c r="M31" s="62">
        <f t="shared" si="18"/>
        <v>0</v>
      </c>
      <c r="N31" s="63">
        <f t="shared" si="18"/>
        <v>0</v>
      </c>
      <c r="O31" s="63">
        <f t="shared" si="18"/>
        <v>33879270</v>
      </c>
      <c r="P31" s="60">
        <f t="shared" si="18"/>
        <v>32405500</v>
      </c>
      <c r="Q31" s="60">
        <f t="shared" ref="Q31:AA31" si="20">Q21+Q26</f>
        <v>26605205</v>
      </c>
      <c r="R31" s="60">
        <f t="shared" si="20"/>
        <v>29494125</v>
      </c>
      <c r="S31" s="60">
        <f t="shared" si="20"/>
        <v>32924765</v>
      </c>
      <c r="T31" s="60">
        <f t="shared" si="20"/>
        <v>28347190</v>
      </c>
      <c r="U31" s="60">
        <f t="shared" si="20"/>
        <v>28255750</v>
      </c>
      <c r="V31" s="60">
        <f t="shared" si="20"/>
        <v>33491580</v>
      </c>
      <c r="W31" s="60">
        <f t="shared" si="20"/>
        <v>0</v>
      </c>
      <c r="X31" s="61">
        <f t="shared" si="20"/>
        <v>0</v>
      </c>
      <c r="Y31" s="62">
        <f t="shared" si="20"/>
        <v>0</v>
      </c>
      <c r="Z31" s="63">
        <f t="shared" si="20"/>
        <v>0</v>
      </c>
      <c r="AA31" s="63">
        <f t="shared" si="20"/>
        <v>0</v>
      </c>
      <c r="AB31" s="63">
        <f t="shared" si="9"/>
        <v>211524115</v>
      </c>
    </row>
    <row r="32" spans="2:42" x14ac:dyDescent="0.3">
      <c r="B32" s="93"/>
      <c r="C32" s="16" t="s">
        <v>30</v>
      </c>
      <c r="D32" s="46">
        <f>D22+D27</f>
        <v>0</v>
      </c>
      <c r="E32" s="46">
        <f t="shared" si="18"/>
        <v>0</v>
      </c>
      <c r="F32" s="46">
        <f t="shared" si="18"/>
        <v>0</v>
      </c>
      <c r="G32" s="46">
        <f t="shared" si="18"/>
        <v>0</v>
      </c>
      <c r="H32" s="46">
        <f t="shared" si="18"/>
        <v>0</v>
      </c>
      <c r="I32" s="46">
        <f t="shared" si="18"/>
        <v>0</v>
      </c>
      <c r="J32" s="46">
        <f t="shared" si="18"/>
        <v>0</v>
      </c>
      <c r="K32" s="46">
        <f t="shared" si="18"/>
        <v>0</v>
      </c>
      <c r="L32" s="47">
        <f t="shared" si="18"/>
        <v>0</v>
      </c>
      <c r="M32" s="48">
        <f t="shared" si="18"/>
        <v>0</v>
      </c>
      <c r="N32" s="49">
        <f t="shared" si="18"/>
        <v>0</v>
      </c>
      <c r="O32" s="49">
        <f t="shared" si="18"/>
        <v>18633800</v>
      </c>
      <c r="P32" s="46">
        <f t="shared" si="18"/>
        <v>17154500</v>
      </c>
      <c r="Q32" s="46">
        <f t="shared" ref="Q32:AA32" si="21">Q22+Q27</f>
        <v>28113800</v>
      </c>
      <c r="R32" s="46">
        <f t="shared" si="21"/>
        <v>23087900</v>
      </c>
      <c r="S32" s="46">
        <f t="shared" si="21"/>
        <v>32904322</v>
      </c>
      <c r="T32" s="46">
        <f t="shared" si="21"/>
        <v>35390256</v>
      </c>
      <c r="U32" s="46">
        <f t="shared" si="21"/>
        <v>29279591</v>
      </c>
      <c r="V32" s="46">
        <f t="shared" si="21"/>
        <v>28212349</v>
      </c>
      <c r="W32" s="46">
        <f t="shared" si="21"/>
        <v>0</v>
      </c>
      <c r="X32" s="47">
        <f t="shared" si="21"/>
        <v>0</v>
      </c>
      <c r="Y32" s="48">
        <f t="shared" si="21"/>
        <v>0</v>
      </c>
      <c r="Z32" s="49">
        <f t="shared" si="21"/>
        <v>0</v>
      </c>
      <c r="AA32" s="49">
        <f t="shared" si="21"/>
        <v>0</v>
      </c>
      <c r="AB32" s="49">
        <f t="shared" si="9"/>
        <v>194142718</v>
      </c>
    </row>
    <row r="33" spans="2:28" x14ac:dyDescent="0.3">
      <c r="B33" s="93"/>
      <c r="C33" s="16" t="s">
        <v>31</v>
      </c>
      <c r="D33" s="46">
        <f>D23+D28</f>
        <v>0</v>
      </c>
      <c r="E33" s="46">
        <f t="shared" si="18"/>
        <v>0</v>
      </c>
      <c r="F33" s="46">
        <f t="shared" si="18"/>
        <v>0</v>
      </c>
      <c r="G33" s="46">
        <f t="shared" si="18"/>
        <v>0</v>
      </c>
      <c r="H33" s="46">
        <f t="shared" si="18"/>
        <v>0</v>
      </c>
      <c r="I33" s="46">
        <f t="shared" si="18"/>
        <v>0</v>
      </c>
      <c r="J33" s="46">
        <f t="shared" si="18"/>
        <v>0</v>
      </c>
      <c r="K33" s="46">
        <f t="shared" si="18"/>
        <v>0</v>
      </c>
      <c r="L33" s="47">
        <f t="shared" si="18"/>
        <v>0</v>
      </c>
      <c r="M33" s="48">
        <f t="shared" si="18"/>
        <v>0</v>
      </c>
      <c r="N33" s="49">
        <f t="shared" si="18"/>
        <v>0</v>
      </c>
      <c r="O33" s="49">
        <f t="shared" si="18"/>
        <v>52513070</v>
      </c>
      <c r="P33" s="46">
        <f t="shared" si="18"/>
        <v>49560000</v>
      </c>
      <c r="Q33" s="46">
        <f t="shared" ref="Q33:AA33" si="22">Q23+Q28</f>
        <v>54847005</v>
      </c>
      <c r="R33" s="46">
        <f t="shared" si="22"/>
        <v>52582025</v>
      </c>
      <c r="S33" s="46">
        <f t="shared" si="22"/>
        <v>65829087</v>
      </c>
      <c r="T33" s="46">
        <f t="shared" si="22"/>
        <v>63737446</v>
      </c>
      <c r="U33" s="46">
        <f t="shared" si="22"/>
        <v>57535341</v>
      </c>
      <c r="V33" s="46">
        <f t="shared" si="22"/>
        <v>61703929</v>
      </c>
      <c r="W33" s="46">
        <f t="shared" si="22"/>
        <v>0</v>
      </c>
      <c r="X33" s="47">
        <f t="shared" si="22"/>
        <v>0</v>
      </c>
      <c r="Y33" s="48">
        <f t="shared" si="22"/>
        <v>0</v>
      </c>
      <c r="Z33" s="49">
        <f t="shared" si="22"/>
        <v>0</v>
      </c>
      <c r="AA33" s="49">
        <f t="shared" si="22"/>
        <v>0</v>
      </c>
      <c r="AB33" s="49">
        <f t="shared" si="9"/>
        <v>405794833</v>
      </c>
    </row>
    <row r="34" spans="2:28" x14ac:dyDescent="0.3">
      <c r="B34" s="93"/>
      <c r="C34" s="68" t="s">
        <v>28</v>
      </c>
      <c r="D34" s="69">
        <f>D24+D29</f>
        <v>0</v>
      </c>
      <c r="E34" s="69">
        <f t="shared" si="18"/>
        <v>0</v>
      </c>
      <c r="F34" s="69">
        <f t="shared" si="18"/>
        <v>0</v>
      </c>
      <c r="G34" s="69">
        <f t="shared" si="18"/>
        <v>0</v>
      </c>
      <c r="H34" s="69">
        <f t="shared" si="18"/>
        <v>0</v>
      </c>
      <c r="I34" s="69">
        <f t="shared" si="18"/>
        <v>0</v>
      </c>
      <c r="J34" s="69">
        <f t="shared" si="18"/>
        <v>0</v>
      </c>
      <c r="K34" s="69">
        <f t="shared" si="18"/>
        <v>0</v>
      </c>
      <c r="L34" s="70">
        <f t="shared" si="18"/>
        <v>0</v>
      </c>
      <c r="M34" s="71">
        <f t="shared" si="18"/>
        <v>0</v>
      </c>
      <c r="N34" s="72">
        <f t="shared" si="18"/>
        <v>0</v>
      </c>
      <c r="O34" s="72">
        <f t="shared" si="18"/>
        <v>-16636920.90909091</v>
      </c>
      <c r="P34" s="69">
        <f t="shared" si="18"/>
        <v>-12532800</v>
      </c>
      <c r="Q34" s="69">
        <f t="shared" ref="Q34:AA34" si="23">Q24+Q29</f>
        <v>-20419095</v>
      </c>
      <c r="R34" s="69">
        <f t="shared" si="23"/>
        <v>-19082175</v>
      </c>
      <c r="S34" s="69">
        <f t="shared" si="23"/>
        <v>-31276113</v>
      </c>
      <c r="T34" s="69">
        <f t="shared" si="23"/>
        <v>-34113754</v>
      </c>
      <c r="U34" s="69">
        <f t="shared" si="23"/>
        <v>-37225759</v>
      </c>
      <c r="V34" s="69">
        <f t="shared" si="23"/>
        <v>-28576671</v>
      </c>
      <c r="W34" s="69">
        <f t="shared" si="23"/>
        <v>0</v>
      </c>
      <c r="X34" s="70">
        <f t="shared" si="23"/>
        <v>0</v>
      </c>
      <c r="Y34" s="71">
        <f t="shared" si="23"/>
        <v>0</v>
      </c>
      <c r="Z34" s="72">
        <f t="shared" si="23"/>
        <v>0</v>
      </c>
      <c r="AA34" s="72">
        <f t="shared" si="23"/>
        <v>0</v>
      </c>
      <c r="AB34" s="72">
        <f t="shared" si="9"/>
        <v>-183226367</v>
      </c>
    </row>
    <row r="35" spans="2:28" ht="27.4" customHeight="1" x14ac:dyDescent="0.3">
      <c r="B35" s="5"/>
      <c r="C35" s="84" t="s">
        <v>37</v>
      </c>
      <c r="D35" s="6"/>
      <c r="E35" s="6"/>
      <c r="O35" s="91">
        <f t="shared" ref="O35:V35" si="24">(-O34)/O30</f>
        <v>0.24059180182630671</v>
      </c>
      <c r="P35" s="91">
        <f t="shared" si="24"/>
        <v>0.20183982683982685</v>
      </c>
      <c r="Q35" s="91">
        <f t="shared" si="24"/>
        <v>0.27129205578607102</v>
      </c>
      <c r="R35" s="91">
        <f t="shared" si="24"/>
        <v>0.26627207168990935</v>
      </c>
      <c r="S35" s="91">
        <f t="shared" si="24"/>
        <v>0.32208484200640131</v>
      </c>
      <c r="T35" s="91">
        <f t="shared" si="24"/>
        <v>0.34862887731576109</v>
      </c>
      <c r="U35" s="91">
        <f t="shared" si="24"/>
        <v>0.39283797887529798</v>
      </c>
      <c r="V35" s="91">
        <f t="shared" si="24"/>
        <v>0.3165316911938999</v>
      </c>
      <c r="AA35" s="85"/>
      <c r="AB35" s="91">
        <f t="shared" ref="AB35" si="25">(-AB34)/AB30</f>
        <v>0.31106922297533601</v>
      </c>
    </row>
    <row r="36" spans="2:28" ht="27.4" customHeight="1" x14ac:dyDescent="0.3">
      <c r="B36" s="4"/>
      <c r="C36" s="6"/>
      <c r="D36" s="6"/>
      <c r="E36" s="6"/>
      <c r="P36" s="6"/>
      <c r="Q36" s="6"/>
    </row>
    <row r="37" spans="2:28" x14ac:dyDescent="0.3">
      <c r="B37" s="4"/>
      <c r="C37" s="6"/>
      <c r="D37" s="6"/>
      <c r="E37" s="6"/>
      <c r="P37" s="6"/>
      <c r="Q37" s="6"/>
    </row>
    <row r="38" spans="2:28" x14ac:dyDescent="0.3">
      <c r="B38" s="5"/>
    </row>
    <row r="39" spans="2:28" x14ac:dyDescent="0.3">
      <c r="B39" s="4"/>
    </row>
    <row r="40" spans="2:28" x14ac:dyDescent="0.3">
      <c r="B40" s="4"/>
    </row>
  </sheetData>
  <mergeCells count="12">
    <mergeCell ref="B25:B29"/>
    <mergeCell ref="B30:B34"/>
    <mergeCell ref="D4:O4"/>
    <mergeCell ref="B4:C5"/>
    <mergeCell ref="P4:AB4"/>
    <mergeCell ref="P18:AB18"/>
    <mergeCell ref="D18:O18"/>
    <mergeCell ref="B18:C19"/>
    <mergeCell ref="B6:B8"/>
    <mergeCell ref="B9:B11"/>
    <mergeCell ref="B12:B14"/>
    <mergeCell ref="B20:B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영학</dc:creator>
  <cp:lastModifiedBy>김 영학</cp:lastModifiedBy>
  <dcterms:created xsi:type="dcterms:W3CDTF">2025-07-04T08:43:37Z</dcterms:created>
  <dcterms:modified xsi:type="dcterms:W3CDTF">2026-08-03T08:10:04Z</dcterms:modified>
</cp:coreProperties>
</file>