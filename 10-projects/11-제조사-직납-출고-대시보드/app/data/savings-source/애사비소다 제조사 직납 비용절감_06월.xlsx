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공유 드라이브\HQ_Team_SCM\SCM_공용\★성과측정지표(KPI)\2026년\물류운영\쿠팡 비용 절감\제조사 직납\"/>
    </mc:Choice>
  </mc:AlternateContent>
  <xr:revisionPtr revIDLastSave="0" documentId="13_ncr:1_{38F0C976-15B3-46B1-B4E4-76FB7CA511F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절감액V2" sheetId="1" r:id="rId1"/>
    <sheet name="직납비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2" i="1" l="1"/>
  <c r="BA42" i="1"/>
  <c r="BB42" i="1"/>
  <c r="BC42" i="1"/>
  <c r="BD42" i="1"/>
  <c r="AT42" i="1"/>
  <c r="AU42" i="1"/>
  <c r="AW42" i="1" s="1"/>
  <c r="AV42" i="1"/>
  <c r="AZ31" i="1"/>
  <c r="BA31" i="1"/>
  <c r="BB31" i="1"/>
  <c r="BC31" i="1"/>
  <c r="BD31" i="1"/>
  <c r="AZ32" i="1"/>
  <c r="BA32" i="1"/>
  <c r="BB32" i="1"/>
  <c r="BC32" i="1"/>
  <c r="BD32" i="1"/>
  <c r="AZ33" i="1"/>
  <c r="BA33" i="1"/>
  <c r="BB33" i="1"/>
  <c r="BC33" i="1"/>
  <c r="BD33" i="1"/>
  <c r="AZ34" i="1"/>
  <c r="BA34" i="1"/>
  <c r="BB34" i="1"/>
  <c r="BC34" i="1"/>
  <c r="BD34" i="1"/>
  <c r="AL30" i="1"/>
  <c r="AP30" i="1" s="1"/>
  <c r="AM30" i="1"/>
  <c r="AN30" i="1"/>
  <c r="AO30" i="1"/>
  <c r="AL31" i="1"/>
  <c r="AM31" i="1"/>
  <c r="AN31" i="1"/>
  <c r="AO31" i="1"/>
  <c r="AP31" i="1"/>
  <c r="AL32" i="1"/>
  <c r="AM32" i="1"/>
  <c r="AN32" i="1"/>
  <c r="AO32" i="1"/>
  <c r="AP32" i="1"/>
  <c r="AL33" i="1"/>
  <c r="AM33" i="1"/>
  <c r="AN33" i="1"/>
  <c r="AO33" i="1"/>
  <c r="AP33" i="1"/>
  <c r="AL34" i="1"/>
  <c r="AM34" i="1"/>
  <c r="AN34" i="1"/>
  <c r="AO34" i="1"/>
  <c r="AP34" i="1"/>
  <c r="I9" i="4"/>
  <c r="I12" i="4"/>
  <c r="I11" i="4"/>
  <c r="AX51" i="1"/>
  <c r="AX52" i="1"/>
  <c r="AX53" i="1"/>
  <c r="AX54" i="1"/>
  <c r="AX55" i="1"/>
  <c r="AX56" i="1"/>
  <c r="AX57" i="1"/>
  <c r="AX50" i="1"/>
  <c r="CO3" i="1"/>
  <c r="CN3" i="1"/>
  <c r="CH3" i="1"/>
  <c r="CG3" i="1"/>
  <c r="CA3" i="1"/>
  <c r="BZ3" i="1"/>
  <c r="BT3" i="1"/>
  <c r="BS3" i="1"/>
  <c r="BM3" i="1"/>
  <c r="BL3" i="1"/>
  <c r="BF3" i="1"/>
  <c r="BE3" i="1"/>
  <c r="AY3" i="1"/>
  <c r="AR3" i="1"/>
  <c r="AK3" i="1"/>
  <c r="AD3" i="1"/>
  <c r="W3" i="1"/>
  <c r="P3" i="1"/>
  <c r="O3" i="1"/>
  <c r="CS57" i="1" l="1"/>
  <c r="CR57" i="1"/>
  <c r="CQ57" i="1"/>
  <c r="CL57" i="1"/>
  <c r="CK57" i="1"/>
  <c r="CJ57" i="1"/>
  <c r="CE57" i="1"/>
  <c r="CD57" i="1"/>
  <c r="CC57" i="1"/>
  <c r="BX57" i="1"/>
  <c r="BW57" i="1"/>
  <c r="BV57" i="1"/>
  <c r="BQ57" i="1"/>
  <c r="BP57" i="1"/>
  <c r="BO57" i="1"/>
  <c r="BJ57" i="1"/>
  <c r="BI57" i="1"/>
  <c r="BH57" i="1"/>
  <c r="BC57" i="1"/>
  <c r="BB57" i="1"/>
  <c r="BA57" i="1"/>
  <c r="AV57" i="1"/>
  <c r="AU57" i="1"/>
  <c r="AT57" i="1"/>
  <c r="AO57" i="1"/>
  <c r="AN57" i="1"/>
  <c r="AM57" i="1"/>
  <c r="AH57" i="1"/>
  <c r="AG57" i="1"/>
  <c r="AF57" i="1"/>
  <c r="AA57" i="1"/>
  <c r="Z57" i="1"/>
  <c r="Y57" i="1"/>
  <c r="T57" i="1"/>
  <c r="S57" i="1"/>
  <c r="R57" i="1"/>
  <c r="I57" i="1"/>
  <c r="H57" i="1"/>
  <c r="D57" i="1"/>
  <c r="CP57" i="1" s="1"/>
  <c r="CT57" i="1" s="1"/>
  <c r="AV56" i="1"/>
  <c r="AH56" i="1"/>
  <c r="AE56" i="1"/>
  <c r="AG56" i="1"/>
  <c r="AA56" i="1"/>
  <c r="Z56" i="1"/>
  <c r="T56" i="1"/>
  <c r="S56" i="1"/>
  <c r="L56" i="1" s="1"/>
  <c r="R56" i="1"/>
  <c r="I56" i="1"/>
  <c r="D56" i="1"/>
  <c r="X56" i="1" s="1"/>
  <c r="CS55" i="1"/>
  <c r="CR55" i="1"/>
  <c r="CQ55" i="1"/>
  <c r="CL55" i="1"/>
  <c r="CK55" i="1"/>
  <c r="CJ55" i="1"/>
  <c r="CE55" i="1"/>
  <c r="CD55" i="1"/>
  <c r="CC55" i="1"/>
  <c r="BX55" i="1"/>
  <c r="BW55" i="1"/>
  <c r="BV55" i="1"/>
  <c r="BU55" i="1"/>
  <c r="BY55" i="1" s="1"/>
  <c r="BQ55" i="1"/>
  <c r="BP55" i="1"/>
  <c r="BO55" i="1"/>
  <c r="BJ55" i="1"/>
  <c r="BI55" i="1"/>
  <c r="BH55" i="1"/>
  <c r="BC55" i="1"/>
  <c r="BB55" i="1"/>
  <c r="BA55" i="1"/>
  <c r="AV55" i="1"/>
  <c r="AT55" i="1"/>
  <c r="AO55" i="1"/>
  <c r="AN55" i="1"/>
  <c r="AH55" i="1"/>
  <c r="AG55" i="1"/>
  <c r="AF55" i="1"/>
  <c r="AA55" i="1"/>
  <c r="H55" i="1"/>
  <c r="T55" i="1"/>
  <c r="S55" i="1"/>
  <c r="R55" i="1"/>
  <c r="I55" i="1"/>
  <c r="D55" i="1"/>
  <c r="CP55" i="1" s="1"/>
  <c r="CT55" i="1" s="1"/>
  <c r="CS54" i="1"/>
  <c r="CR54" i="1"/>
  <c r="CQ54" i="1"/>
  <c r="CL54" i="1"/>
  <c r="CK54" i="1"/>
  <c r="CJ54" i="1"/>
  <c r="CE54" i="1"/>
  <c r="CD54" i="1"/>
  <c r="CC54" i="1"/>
  <c r="BX54" i="1"/>
  <c r="BW54" i="1"/>
  <c r="BV54" i="1"/>
  <c r="BQ54" i="1"/>
  <c r="BP54" i="1"/>
  <c r="BO54" i="1"/>
  <c r="BJ54" i="1"/>
  <c r="BI54" i="1"/>
  <c r="BH54" i="1"/>
  <c r="BC54" i="1"/>
  <c r="AZ54" i="1"/>
  <c r="BB54" i="1"/>
  <c r="AV54" i="1"/>
  <c r="AU54" i="1"/>
  <c r="AT54" i="1"/>
  <c r="AO54" i="1"/>
  <c r="AN54" i="1"/>
  <c r="AH54" i="1"/>
  <c r="AF54" i="1"/>
  <c r="AA54" i="1"/>
  <c r="Y54" i="1"/>
  <c r="T54" i="1"/>
  <c r="S54" i="1"/>
  <c r="R54" i="1"/>
  <c r="I54" i="1"/>
  <c r="D54" i="1"/>
  <c r="CI54" i="1" s="1"/>
  <c r="CS53" i="1"/>
  <c r="CR53" i="1"/>
  <c r="CQ53" i="1"/>
  <c r="CL53" i="1"/>
  <c r="CK53" i="1"/>
  <c r="CJ53" i="1"/>
  <c r="CE53" i="1"/>
  <c r="CD53" i="1"/>
  <c r="CC53" i="1"/>
  <c r="BX53" i="1"/>
  <c r="BW53" i="1"/>
  <c r="BV53" i="1"/>
  <c r="BQ53" i="1"/>
  <c r="BP53" i="1"/>
  <c r="BO53" i="1"/>
  <c r="BJ53" i="1"/>
  <c r="BI53" i="1"/>
  <c r="BH53" i="1"/>
  <c r="BC53" i="1"/>
  <c r="AZ53" i="1"/>
  <c r="BA53" i="1"/>
  <c r="AV53" i="1"/>
  <c r="AU53" i="1"/>
  <c r="AO53" i="1"/>
  <c r="AN53" i="1"/>
  <c r="AM53" i="1"/>
  <c r="AH53" i="1"/>
  <c r="AG53" i="1"/>
  <c r="AA53" i="1"/>
  <c r="Z53" i="1"/>
  <c r="T53" i="1"/>
  <c r="S53" i="1"/>
  <c r="R53" i="1"/>
  <c r="I53" i="1"/>
  <c r="D53" i="1"/>
  <c r="X53" i="1" s="1"/>
  <c r="CS52" i="1"/>
  <c r="CR52" i="1"/>
  <c r="CQ52" i="1"/>
  <c r="CL52" i="1"/>
  <c r="CK52" i="1"/>
  <c r="CJ52" i="1"/>
  <c r="CE52" i="1"/>
  <c r="CD52" i="1"/>
  <c r="CC52" i="1"/>
  <c r="BX52" i="1"/>
  <c r="BW52" i="1"/>
  <c r="BV52" i="1"/>
  <c r="BQ52" i="1"/>
  <c r="BP52" i="1"/>
  <c r="BO52" i="1"/>
  <c r="BJ52" i="1"/>
  <c r="BI52" i="1"/>
  <c r="BH52" i="1"/>
  <c r="BC52" i="1"/>
  <c r="BB52" i="1"/>
  <c r="BA52" i="1"/>
  <c r="AV52" i="1"/>
  <c r="AU52" i="1"/>
  <c r="AO52" i="1"/>
  <c r="AM52" i="1"/>
  <c r="AH52" i="1"/>
  <c r="AF52" i="1"/>
  <c r="AA52" i="1"/>
  <c r="H52" i="1"/>
  <c r="T52" i="1"/>
  <c r="S52" i="1"/>
  <c r="R52" i="1"/>
  <c r="I52" i="1"/>
  <c r="D52" i="1"/>
  <c r="AE52" i="1" s="1"/>
  <c r="CS51" i="1"/>
  <c r="CR51" i="1"/>
  <c r="CQ51" i="1"/>
  <c r="CL51" i="1"/>
  <c r="CK51" i="1"/>
  <c r="CJ51" i="1"/>
  <c r="CE51" i="1"/>
  <c r="CD51" i="1"/>
  <c r="CC51" i="1"/>
  <c r="BX51" i="1"/>
  <c r="BW51" i="1"/>
  <c r="BV51" i="1"/>
  <c r="BQ51" i="1"/>
  <c r="BP51" i="1"/>
  <c r="BO51" i="1"/>
  <c r="BJ51" i="1"/>
  <c r="BI51" i="1"/>
  <c r="BH51" i="1"/>
  <c r="BG51" i="1"/>
  <c r="BK51" i="1" s="1"/>
  <c r="BC51" i="1"/>
  <c r="AZ51" i="1"/>
  <c r="BB51" i="1"/>
  <c r="AV51" i="1"/>
  <c r="AU51" i="1"/>
  <c r="AT51" i="1"/>
  <c r="AO51" i="1"/>
  <c r="AN51" i="1"/>
  <c r="AH51" i="1"/>
  <c r="AG51" i="1"/>
  <c r="AA51" i="1"/>
  <c r="Y51" i="1"/>
  <c r="T51" i="1"/>
  <c r="S51" i="1"/>
  <c r="R51" i="1"/>
  <c r="I51" i="1"/>
  <c r="D51" i="1"/>
  <c r="AE51" i="1" s="1"/>
  <c r="CS50" i="1"/>
  <c r="CR50" i="1"/>
  <c r="CQ50" i="1"/>
  <c r="CL50" i="1"/>
  <c r="CK50" i="1"/>
  <c r="CJ50" i="1"/>
  <c r="CE50" i="1"/>
  <c r="CD50" i="1"/>
  <c r="CC50" i="1"/>
  <c r="BX50" i="1"/>
  <c r="BW50" i="1"/>
  <c r="BV50" i="1"/>
  <c r="BQ50" i="1"/>
  <c r="BP50" i="1"/>
  <c r="BO50" i="1"/>
  <c r="BJ50" i="1"/>
  <c r="BI50" i="1"/>
  <c r="BH50" i="1"/>
  <c r="BC50" i="1"/>
  <c r="AZ50" i="1"/>
  <c r="BB50" i="1"/>
  <c r="AV50" i="1"/>
  <c r="AU50" i="1"/>
  <c r="AO50" i="1"/>
  <c r="AL50" i="1"/>
  <c r="AM50" i="1"/>
  <c r="AH50" i="1"/>
  <c r="AG50" i="1"/>
  <c r="AA50" i="1"/>
  <c r="Z50" i="1"/>
  <c r="Y50" i="1"/>
  <c r="T50" i="1"/>
  <c r="S50" i="1"/>
  <c r="R50" i="1"/>
  <c r="I50" i="1"/>
  <c r="D50" i="1"/>
  <c r="BU50" i="1" s="1"/>
  <c r="AX48" i="1"/>
  <c r="AX47" i="1"/>
  <c r="AX46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M54" i="1" l="1"/>
  <c r="CP51" i="1"/>
  <c r="CT51" i="1" s="1"/>
  <c r="AL53" i="1"/>
  <c r="AP53" i="1" s="1"/>
  <c r="BU52" i="1"/>
  <c r="BY52" i="1" s="1"/>
  <c r="BG57" i="1"/>
  <c r="Q57" i="1"/>
  <c r="AX3" i="1"/>
  <c r="BN51" i="1"/>
  <c r="Q51" i="1"/>
  <c r="U51" i="1" s="1"/>
  <c r="Q54" i="1"/>
  <c r="U54" i="1" s="1"/>
  <c r="BU54" i="1"/>
  <c r="BY54" i="1" s="1"/>
  <c r="AL51" i="1"/>
  <c r="M56" i="1"/>
  <c r="AS57" i="1"/>
  <c r="AW57" i="1" s="1"/>
  <c r="BN54" i="1"/>
  <c r="BR54" i="1" s="1"/>
  <c r="BR51" i="1"/>
  <c r="X51" i="1"/>
  <c r="X54" i="1"/>
  <c r="CB54" i="1"/>
  <c r="CF54" i="1" s="1"/>
  <c r="AS55" i="1"/>
  <c r="CI57" i="1"/>
  <c r="CM57" i="1" s="1"/>
  <c r="CI51" i="1"/>
  <c r="CM51" i="1" s="1"/>
  <c r="CB53" i="1"/>
  <c r="CF53" i="1" s="1"/>
  <c r="AL54" i="1"/>
  <c r="BU51" i="1"/>
  <c r="BY51" i="1" s="1"/>
  <c r="CB51" i="1"/>
  <c r="CF51" i="1" s="1"/>
  <c r="AS52" i="1"/>
  <c r="AE54" i="1"/>
  <c r="CB50" i="1"/>
  <c r="CF50" i="1" s="1"/>
  <c r="AS51" i="1"/>
  <c r="AW51" i="1" s="1"/>
  <c r="M57" i="1"/>
  <c r="BU57" i="1"/>
  <c r="BY57" i="1" s="1"/>
  <c r="AE57" i="1"/>
  <c r="AI57" i="1" s="1"/>
  <c r="CP54" i="1"/>
  <c r="L57" i="1"/>
  <c r="M53" i="1"/>
  <c r="M50" i="1"/>
  <c r="M51" i="1"/>
  <c r="M55" i="1"/>
  <c r="M52" i="1"/>
  <c r="CM54" i="1"/>
  <c r="CT54" i="1"/>
  <c r="K57" i="1"/>
  <c r="BK57" i="1"/>
  <c r="BY50" i="1"/>
  <c r="AB51" i="1"/>
  <c r="BA50" i="1"/>
  <c r="AT52" i="1"/>
  <c r="AE53" i="1"/>
  <c r="BB53" i="1"/>
  <c r="BD53" i="1" s="1"/>
  <c r="AM54" i="1"/>
  <c r="X55" i="1"/>
  <c r="AU55" i="1"/>
  <c r="H56" i="1"/>
  <c r="AF56" i="1"/>
  <c r="AI56" i="1" s="1"/>
  <c r="AE50" i="1"/>
  <c r="AM51" i="1"/>
  <c r="X52" i="1"/>
  <c r="H53" i="1"/>
  <c r="AF53" i="1"/>
  <c r="Y55" i="1"/>
  <c r="U57" i="1"/>
  <c r="H50" i="1"/>
  <c r="AF50" i="1"/>
  <c r="Y52" i="1"/>
  <c r="Z55" i="1"/>
  <c r="X57" i="1"/>
  <c r="AB57" i="1" s="1"/>
  <c r="AZ57" i="1"/>
  <c r="BD57" i="1" s="1"/>
  <c r="CB57" i="1"/>
  <c r="CF57" i="1" s="1"/>
  <c r="Z52" i="1"/>
  <c r="BG53" i="1"/>
  <c r="BK53" i="1" s="1"/>
  <c r="CI53" i="1"/>
  <c r="CM53" i="1" s="1"/>
  <c r="BG50" i="1"/>
  <c r="BK50" i="1" s="1"/>
  <c r="CI50" i="1"/>
  <c r="CM50" i="1" s="1"/>
  <c r="AZ55" i="1"/>
  <c r="BD55" i="1" s="1"/>
  <c r="CB55" i="1"/>
  <c r="CF55" i="1" s="1"/>
  <c r="AZ52" i="1"/>
  <c r="BD52" i="1" s="1"/>
  <c r="CB52" i="1"/>
  <c r="CF52" i="1" s="1"/>
  <c r="AS54" i="1"/>
  <c r="AW54" i="1" s="1"/>
  <c r="Q50" i="1"/>
  <c r="CP50" i="1"/>
  <c r="CT50" i="1" s="1"/>
  <c r="AG52" i="1"/>
  <c r="AI52" i="1" s="1"/>
  <c r="Z54" i="1"/>
  <c r="BG55" i="1"/>
  <c r="BK55" i="1" s="1"/>
  <c r="AS53" i="1"/>
  <c r="BA54" i="1"/>
  <c r="BD54" i="1" s="1"/>
  <c r="AL55" i="1"/>
  <c r="AP55" i="1" s="1"/>
  <c r="AL57" i="1"/>
  <c r="AP57" i="1" s="1"/>
  <c r="BN57" i="1"/>
  <c r="BR57" i="1" s="1"/>
  <c r="AS56" i="1"/>
  <c r="AN50" i="1"/>
  <c r="L50" i="1" s="1"/>
  <c r="AE55" i="1"/>
  <c r="AI55" i="1" s="1"/>
  <c r="Q56" i="1"/>
  <c r="CP53" i="1"/>
  <c r="CT53" i="1" s="1"/>
  <c r="BN50" i="1"/>
  <c r="BR50" i="1" s="1"/>
  <c r="CI55" i="1"/>
  <c r="CM55" i="1" s="1"/>
  <c r="Z51" i="1"/>
  <c r="L51" i="1" s="1"/>
  <c r="BG52" i="1"/>
  <c r="BK52" i="1" s="1"/>
  <c r="CI52" i="1"/>
  <c r="CM52" i="1" s="1"/>
  <c r="BA51" i="1"/>
  <c r="BD51" i="1" s="1"/>
  <c r="AL52" i="1"/>
  <c r="AT53" i="1"/>
  <c r="BU53" i="1"/>
  <c r="BY53" i="1" s="1"/>
  <c r="AM55" i="1"/>
  <c r="AT50" i="1"/>
  <c r="H54" i="1"/>
  <c r="BN55" i="1"/>
  <c r="BR55" i="1" s="1"/>
  <c r="Y56" i="1"/>
  <c r="AB56" i="1" s="1"/>
  <c r="X50" i="1"/>
  <c r="AB50" i="1" s="1"/>
  <c r="H51" i="1"/>
  <c r="AF51" i="1"/>
  <c r="K51" i="1" s="1"/>
  <c r="Q52" i="1"/>
  <c r="AN52" i="1"/>
  <c r="BN52" i="1"/>
  <c r="BR52" i="1" s="1"/>
  <c r="CP52" i="1"/>
  <c r="CT52" i="1" s="1"/>
  <c r="Y53" i="1"/>
  <c r="AB53" i="1" s="1"/>
  <c r="AG54" i="1"/>
  <c r="Q53" i="1"/>
  <c r="BN53" i="1"/>
  <c r="BR53" i="1" s="1"/>
  <c r="AS50" i="1"/>
  <c r="Q55" i="1"/>
  <c r="BG54" i="1"/>
  <c r="BK54" i="1" s="1"/>
  <c r="H12" i="4"/>
  <c r="H11" i="4"/>
  <c r="AP51" i="1" l="1"/>
  <c r="J54" i="1"/>
  <c r="L54" i="1"/>
  <c r="AI54" i="1"/>
  <c r="AB55" i="1"/>
  <c r="AI53" i="1"/>
  <c r="AW55" i="1"/>
  <c r="AP54" i="1"/>
  <c r="AW52" i="1"/>
  <c r="J51" i="1"/>
  <c r="BD50" i="1"/>
  <c r="AI50" i="1"/>
  <c r="L52" i="1"/>
  <c r="J57" i="1"/>
  <c r="AW53" i="1"/>
  <c r="K54" i="1"/>
  <c r="K50" i="1"/>
  <c r="U52" i="1"/>
  <c r="J52" i="1"/>
  <c r="L55" i="1"/>
  <c r="K55" i="1"/>
  <c r="K52" i="1"/>
  <c r="AP50" i="1"/>
  <c r="J55" i="1"/>
  <c r="U55" i="1"/>
  <c r="N57" i="1"/>
  <c r="AI51" i="1"/>
  <c r="AB54" i="1"/>
  <c r="N54" i="1" s="1"/>
  <c r="AW50" i="1"/>
  <c r="U50" i="1"/>
  <c r="J50" i="1"/>
  <c r="K56" i="1"/>
  <c r="L53" i="1"/>
  <c r="U56" i="1"/>
  <c r="N56" i="1" s="1"/>
  <c r="J56" i="1"/>
  <c r="U53" i="1"/>
  <c r="J53" i="1"/>
  <c r="K53" i="1"/>
  <c r="AP52" i="1"/>
  <c r="AB52" i="1"/>
  <c r="CS47" i="1"/>
  <c r="CR47" i="1"/>
  <c r="CQ47" i="1"/>
  <c r="CL47" i="1"/>
  <c r="CK47" i="1"/>
  <c r="CJ47" i="1"/>
  <c r="CE47" i="1"/>
  <c r="CD47" i="1"/>
  <c r="CC47" i="1"/>
  <c r="BX47" i="1"/>
  <c r="BW47" i="1"/>
  <c r="BV47" i="1"/>
  <c r="BQ47" i="1"/>
  <c r="BP47" i="1"/>
  <c r="BO47" i="1"/>
  <c r="BJ47" i="1"/>
  <c r="BI47" i="1"/>
  <c r="BH47" i="1"/>
  <c r="BC47" i="1"/>
  <c r="BB47" i="1"/>
  <c r="BA47" i="1"/>
  <c r="AV47" i="1"/>
  <c r="AQ47" i="1"/>
  <c r="AT47" i="1" s="1"/>
  <c r="AA47" i="1"/>
  <c r="Z47" i="1"/>
  <c r="Y47" i="1"/>
  <c r="T47" i="1"/>
  <c r="S47" i="1"/>
  <c r="R47" i="1"/>
  <c r="I47" i="1"/>
  <c r="D47" i="1"/>
  <c r="X47" i="1" s="1"/>
  <c r="CS46" i="1"/>
  <c r="CR46" i="1"/>
  <c r="CQ46" i="1"/>
  <c r="CL46" i="1"/>
  <c r="CK46" i="1"/>
  <c r="CJ46" i="1"/>
  <c r="CE46" i="1"/>
  <c r="CD46" i="1"/>
  <c r="CC46" i="1"/>
  <c r="BX46" i="1"/>
  <c r="BW46" i="1"/>
  <c r="BV46" i="1"/>
  <c r="BQ46" i="1"/>
  <c r="BP46" i="1"/>
  <c r="BO46" i="1"/>
  <c r="BJ46" i="1"/>
  <c r="BI46" i="1"/>
  <c r="BH46" i="1"/>
  <c r="BC46" i="1"/>
  <c r="BB46" i="1"/>
  <c r="BA46" i="1"/>
  <c r="AV46" i="1"/>
  <c r="AS46" i="1"/>
  <c r="AQ46" i="1"/>
  <c r="AU46" i="1" s="1"/>
  <c r="AO46" i="1"/>
  <c r="AJ46" i="1"/>
  <c r="AN46" i="1" s="1"/>
  <c r="AH46" i="1"/>
  <c r="AC46" i="1"/>
  <c r="AG46" i="1" s="1"/>
  <c r="AA46" i="1"/>
  <c r="Z46" i="1"/>
  <c r="Y46" i="1"/>
  <c r="T46" i="1"/>
  <c r="S46" i="1"/>
  <c r="R46" i="1"/>
  <c r="I46" i="1"/>
  <c r="D46" i="1"/>
  <c r="Q46" i="1" s="1"/>
  <c r="CS45" i="1"/>
  <c r="CR45" i="1"/>
  <c r="CQ45" i="1"/>
  <c r="CP45" i="1"/>
  <c r="CL45" i="1"/>
  <c r="CK45" i="1"/>
  <c r="CJ45" i="1"/>
  <c r="CE45" i="1"/>
  <c r="CD45" i="1"/>
  <c r="CC45" i="1"/>
  <c r="BX45" i="1"/>
  <c r="BW45" i="1"/>
  <c r="BV45" i="1"/>
  <c r="BQ45" i="1"/>
  <c r="BP45" i="1"/>
  <c r="BO45" i="1"/>
  <c r="BJ45" i="1"/>
  <c r="BI45" i="1"/>
  <c r="BH45" i="1"/>
  <c r="BC45" i="1"/>
  <c r="BB45" i="1"/>
  <c r="BA45" i="1"/>
  <c r="AZ45" i="1"/>
  <c r="BD45" i="1" s="1"/>
  <c r="AV45" i="1"/>
  <c r="AU45" i="1"/>
  <c r="AT45" i="1"/>
  <c r="AO45" i="1"/>
  <c r="AN45" i="1"/>
  <c r="AM45" i="1"/>
  <c r="AH45" i="1"/>
  <c r="AG45" i="1"/>
  <c r="AF45" i="1"/>
  <c r="AA45" i="1"/>
  <c r="Z45" i="1"/>
  <c r="Y45" i="1"/>
  <c r="T45" i="1"/>
  <c r="S45" i="1"/>
  <c r="R45" i="1"/>
  <c r="I45" i="1"/>
  <c r="H45" i="1"/>
  <c r="D45" i="1"/>
  <c r="BN45" i="1" s="1"/>
  <c r="AS31" i="1"/>
  <c r="AV31" i="1"/>
  <c r="AS32" i="1"/>
  <c r="AV32" i="1"/>
  <c r="AS33" i="1"/>
  <c r="AV33" i="1"/>
  <c r="AS34" i="1"/>
  <c r="AV34" i="1"/>
  <c r="AS35" i="1"/>
  <c r="AV35" i="1"/>
  <c r="AQ48" i="1"/>
  <c r="AQ42" i="1"/>
  <c r="AQ41" i="1"/>
  <c r="AQ40" i="1"/>
  <c r="AQ39" i="1"/>
  <c r="AQ38" i="1"/>
  <c r="AQ37" i="1"/>
  <c r="AQ36" i="1"/>
  <c r="AQ35" i="1"/>
  <c r="AU35" i="1" s="1"/>
  <c r="AQ34" i="1"/>
  <c r="AU34" i="1" s="1"/>
  <c r="AQ33" i="1"/>
  <c r="AT33" i="1" s="1"/>
  <c r="AQ32" i="1"/>
  <c r="AT32" i="1" s="1"/>
  <c r="AQ31" i="1"/>
  <c r="AU31" i="1" s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J32" i="1"/>
  <c r="AJ34" i="1"/>
  <c r="AJ42" i="1"/>
  <c r="AJ41" i="1"/>
  <c r="AJ40" i="1"/>
  <c r="AJ39" i="1"/>
  <c r="AJ38" i="1"/>
  <c r="AJ37" i="1"/>
  <c r="AJ36" i="1"/>
  <c r="AJ35" i="1"/>
  <c r="AJ33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F10" i="4"/>
  <c r="AE32" i="1"/>
  <c r="AF32" i="1"/>
  <c r="AG32" i="1"/>
  <c r="AH32" i="1"/>
  <c r="AI32" i="1"/>
  <c r="AE33" i="1"/>
  <c r="AH33" i="1"/>
  <c r="AE34" i="1"/>
  <c r="AF34" i="1"/>
  <c r="AG34" i="1"/>
  <c r="AH34" i="1"/>
  <c r="AE35" i="1"/>
  <c r="AH35" i="1"/>
  <c r="AC33" i="1"/>
  <c r="AG33" i="1" s="1"/>
  <c r="AC31" i="1"/>
  <c r="AF31" i="1" s="1"/>
  <c r="AE31" i="1"/>
  <c r="AH31" i="1"/>
  <c r="AC29" i="1"/>
  <c r="I34" i="1"/>
  <c r="I33" i="1"/>
  <c r="I32" i="1"/>
  <c r="I31" i="1"/>
  <c r="AC35" i="1"/>
  <c r="AF35" i="1" s="1"/>
  <c r="AC30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36" i="1"/>
  <c r="AC16" i="1"/>
  <c r="AC15" i="1"/>
  <c r="AC14" i="1"/>
  <c r="AC13" i="1"/>
  <c r="AC12" i="1"/>
  <c r="AC11" i="1"/>
  <c r="AC10" i="1"/>
  <c r="AC9" i="1"/>
  <c r="AC8" i="1"/>
  <c r="AC42" i="1"/>
  <c r="AF42" i="1" s="1"/>
  <c r="AC41" i="1"/>
  <c r="AC40" i="1"/>
  <c r="AC39" i="1"/>
  <c r="AC38" i="1"/>
  <c r="AC37" i="1"/>
  <c r="AH42" i="1"/>
  <c r="O10" i="4"/>
  <c r="N10" i="4"/>
  <c r="M10" i="4"/>
  <c r="L10" i="4"/>
  <c r="K10" i="4"/>
  <c r="J10" i="4"/>
  <c r="H10" i="4"/>
  <c r="G10" i="4"/>
  <c r="G12" i="4" s="1"/>
  <c r="F11" i="4"/>
  <c r="E10" i="4"/>
  <c r="E11" i="4" s="1"/>
  <c r="D10" i="4"/>
  <c r="D12" i="4" s="1"/>
  <c r="R9" i="4"/>
  <c r="Q9" i="4"/>
  <c r="P9" i="4"/>
  <c r="R8" i="4"/>
  <c r="Q8" i="4"/>
  <c r="Q10" i="4" s="1"/>
  <c r="P8" i="4"/>
  <c r="H47" i="1" l="1"/>
  <c r="N51" i="1"/>
  <c r="AC3" i="1"/>
  <c r="AQ3" i="1"/>
  <c r="K32" i="1"/>
  <c r="AJ3" i="1"/>
  <c r="N55" i="1"/>
  <c r="N53" i="1"/>
  <c r="J34" i="1"/>
  <c r="AB47" i="1"/>
  <c r="N50" i="1"/>
  <c r="BU47" i="1"/>
  <c r="BY47" i="1" s="1"/>
  <c r="AF33" i="1"/>
  <c r="AI33" i="1" s="1"/>
  <c r="H32" i="1"/>
  <c r="AS45" i="1"/>
  <c r="AW45" i="1" s="1"/>
  <c r="CI45" i="1"/>
  <c r="CM45" i="1" s="1"/>
  <c r="N52" i="1"/>
  <c r="AT46" i="1"/>
  <c r="AW46" i="1" s="1"/>
  <c r="AT31" i="1"/>
  <c r="AW31" i="1" s="1"/>
  <c r="K47" i="1"/>
  <c r="AU47" i="1"/>
  <c r="L47" i="1" s="1"/>
  <c r="AT35" i="1"/>
  <c r="AW35" i="1" s="1"/>
  <c r="CB46" i="1"/>
  <c r="CF46" i="1" s="1"/>
  <c r="CB45" i="1"/>
  <c r="CF45" i="1" s="1"/>
  <c r="BG45" i="1"/>
  <c r="BK45" i="1" s="1"/>
  <c r="Q45" i="1"/>
  <c r="H33" i="1"/>
  <c r="BU46" i="1"/>
  <c r="BY46" i="1" s="1"/>
  <c r="X45" i="1"/>
  <c r="AB45" i="1" s="1"/>
  <c r="AE46" i="1"/>
  <c r="AU33" i="1"/>
  <c r="AW33" i="1" s="1"/>
  <c r="AL45" i="1"/>
  <c r="AL46" i="1"/>
  <c r="X46" i="1"/>
  <c r="AB46" i="1" s="1"/>
  <c r="AS47" i="1"/>
  <c r="M47" i="1"/>
  <c r="BU45" i="1"/>
  <c r="BY45" i="1" s="1"/>
  <c r="H34" i="1"/>
  <c r="L46" i="1"/>
  <c r="AZ47" i="1"/>
  <c r="BD47" i="1" s="1"/>
  <c r="CB47" i="1"/>
  <c r="CF47" i="1" s="1"/>
  <c r="AT34" i="1"/>
  <c r="K34" i="1" s="1"/>
  <c r="K45" i="1"/>
  <c r="BG47" i="1"/>
  <c r="BK47" i="1" s="1"/>
  <c r="CI47" i="1"/>
  <c r="CM47" i="1" s="1"/>
  <c r="M31" i="1"/>
  <c r="AW34" i="1"/>
  <c r="J31" i="1"/>
  <c r="M45" i="1"/>
  <c r="M46" i="1"/>
  <c r="J32" i="1"/>
  <c r="Q47" i="1"/>
  <c r="L45" i="1"/>
  <c r="BN47" i="1"/>
  <c r="BR47" i="1" s="1"/>
  <c r="CP47" i="1"/>
  <c r="CT47" i="1" s="1"/>
  <c r="AE45" i="1"/>
  <c r="AI45" i="1" s="1"/>
  <c r="AZ46" i="1"/>
  <c r="BD46" i="1" s="1"/>
  <c r="AP45" i="1"/>
  <c r="H31" i="1"/>
  <c r="L34" i="1"/>
  <c r="AU32" i="1"/>
  <c r="L32" i="1" s="1"/>
  <c r="BR45" i="1"/>
  <c r="U46" i="1"/>
  <c r="AF46" i="1"/>
  <c r="H46" i="1"/>
  <c r="BG46" i="1"/>
  <c r="BK46" i="1" s="1"/>
  <c r="CI46" i="1"/>
  <c r="CM46" i="1" s="1"/>
  <c r="AM46" i="1"/>
  <c r="BN46" i="1"/>
  <c r="BR46" i="1" s="1"/>
  <c r="CP46" i="1"/>
  <c r="CT46" i="1" s="1"/>
  <c r="CT45" i="1"/>
  <c r="AG35" i="1"/>
  <c r="AI35" i="1" s="1"/>
  <c r="M34" i="1"/>
  <c r="AI34" i="1"/>
  <c r="M33" i="1"/>
  <c r="U45" i="1"/>
  <c r="J33" i="1"/>
  <c r="M32" i="1"/>
  <c r="G11" i="4"/>
  <c r="F12" i="4"/>
  <c r="R10" i="4"/>
  <c r="R12" i="4" s="1"/>
  <c r="P10" i="4"/>
  <c r="P11" i="4" s="1"/>
  <c r="AG31" i="1"/>
  <c r="L31" i="1" s="1"/>
  <c r="AG42" i="1"/>
  <c r="D11" i="4"/>
  <c r="E12" i="4"/>
  <c r="AA42" i="1"/>
  <c r="V42" i="1"/>
  <c r="Y42" i="1" s="1"/>
  <c r="V41" i="1"/>
  <c r="V40" i="1"/>
  <c r="V39" i="1"/>
  <c r="V38" i="1"/>
  <c r="V37" i="1"/>
  <c r="V36" i="1"/>
  <c r="V35" i="1"/>
  <c r="V30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9" i="1"/>
  <c r="V8" i="1"/>
  <c r="V3" i="1" l="1"/>
  <c r="K33" i="1"/>
  <c r="J45" i="1"/>
  <c r="L33" i="1"/>
  <c r="K31" i="1"/>
  <c r="N34" i="1"/>
  <c r="AW47" i="1"/>
  <c r="AI46" i="1"/>
  <c r="AP46" i="1"/>
  <c r="N46" i="1" s="1"/>
  <c r="U47" i="1"/>
  <c r="N47" i="1" s="1"/>
  <c r="J47" i="1"/>
  <c r="N45" i="1"/>
  <c r="N33" i="1"/>
  <c r="AW32" i="1"/>
  <c r="N32" i="1" s="1"/>
  <c r="J46" i="1"/>
  <c r="K46" i="1"/>
  <c r="P12" i="4"/>
  <c r="R11" i="4"/>
  <c r="AI31" i="1"/>
  <c r="N31" i="1" s="1"/>
  <c r="Z42" i="1"/>
  <c r="Y61" i="1"/>
  <c r="F67" i="1"/>
  <c r="G67" i="1"/>
  <c r="H67" i="1"/>
  <c r="I67" i="1"/>
  <c r="J67" i="1"/>
  <c r="K67" i="1"/>
  <c r="L67" i="1"/>
  <c r="M67" i="1"/>
  <c r="E67" i="1"/>
  <c r="M61" i="1"/>
  <c r="M60" i="1"/>
  <c r="M62" i="1" s="1"/>
  <c r="R42" i="1" l="1"/>
  <c r="K42" i="1" s="1"/>
  <c r="T42" i="1"/>
  <c r="H42" i="1"/>
  <c r="I42" i="1"/>
  <c r="M42" i="1"/>
  <c r="D42" i="1"/>
  <c r="AS42" i="1" s="1"/>
  <c r="Q42" i="1" l="1"/>
  <c r="AE42" i="1"/>
  <c r="AI42" i="1" s="1"/>
  <c r="X42" i="1"/>
  <c r="AB42" i="1" s="1"/>
  <c r="S42" i="1"/>
  <c r="L42" i="1" s="1"/>
  <c r="H36" i="1"/>
  <c r="I36" i="1"/>
  <c r="CS44" i="1"/>
  <c r="CR44" i="1"/>
  <c r="CQ44" i="1"/>
  <c r="CL44" i="1"/>
  <c r="CK44" i="1"/>
  <c r="CJ44" i="1"/>
  <c r="CE44" i="1"/>
  <c r="CD44" i="1"/>
  <c r="CC44" i="1"/>
  <c r="BX44" i="1"/>
  <c r="BW44" i="1"/>
  <c r="BV44" i="1"/>
  <c r="BQ44" i="1"/>
  <c r="BP44" i="1"/>
  <c r="BO44" i="1"/>
  <c r="BJ44" i="1"/>
  <c r="BI44" i="1"/>
  <c r="BH44" i="1"/>
  <c r="BC44" i="1"/>
  <c r="BB44" i="1"/>
  <c r="BA44" i="1"/>
  <c r="AV44" i="1"/>
  <c r="AU44" i="1"/>
  <c r="AT44" i="1"/>
  <c r="AO44" i="1"/>
  <c r="AN44" i="1"/>
  <c r="AM44" i="1"/>
  <c r="AH44" i="1"/>
  <c r="AG44" i="1"/>
  <c r="AF44" i="1"/>
  <c r="AA44" i="1"/>
  <c r="Z44" i="1"/>
  <c r="Y44" i="1"/>
  <c r="T44" i="1"/>
  <c r="S44" i="1"/>
  <c r="R44" i="1"/>
  <c r="I44" i="1"/>
  <c r="H44" i="1"/>
  <c r="D44" i="1"/>
  <c r="CP44" i="1" s="1"/>
  <c r="CS43" i="1"/>
  <c r="CR43" i="1"/>
  <c r="CQ43" i="1"/>
  <c r="CL43" i="1"/>
  <c r="CK43" i="1"/>
  <c r="CJ43" i="1"/>
  <c r="CE43" i="1"/>
  <c r="CD43" i="1"/>
  <c r="CC43" i="1"/>
  <c r="BX43" i="1"/>
  <c r="BW43" i="1"/>
  <c r="BV43" i="1"/>
  <c r="BQ43" i="1"/>
  <c r="BP43" i="1"/>
  <c r="BO43" i="1"/>
  <c r="BJ43" i="1"/>
  <c r="BI43" i="1"/>
  <c r="BH43" i="1"/>
  <c r="BC43" i="1"/>
  <c r="BB43" i="1"/>
  <c r="BA43" i="1"/>
  <c r="AV43" i="1"/>
  <c r="AU43" i="1"/>
  <c r="AT43" i="1"/>
  <c r="AO43" i="1"/>
  <c r="AN43" i="1"/>
  <c r="AM43" i="1"/>
  <c r="AH43" i="1"/>
  <c r="AG43" i="1"/>
  <c r="AF43" i="1"/>
  <c r="AA43" i="1"/>
  <c r="Z43" i="1"/>
  <c r="Y43" i="1"/>
  <c r="T43" i="1"/>
  <c r="S43" i="1"/>
  <c r="R43" i="1"/>
  <c r="I43" i="1"/>
  <c r="H43" i="1"/>
  <c r="D43" i="1"/>
  <c r="CP43" i="1" s="1"/>
  <c r="CS41" i="1"/>
  <c r="CR41" i="1"/>
  <c r="CQ41" i="1"/>
  <c r="CL41" i="1"/>
  <c r="CK41" i="1"/>
  <c r="CJ41" i="1"/>
  <c r="CE41" i="1"/>
  <c r="CD41" i="1"/>
  <c r="CC41" i="1"/>
  <c r="BX41" i="1"/>
  <c r="BW41" i="1"/>
  <c r="BV41" i="1"/>
  <c r="BQ41" i="1"/>
  <c r="BP41" i="1"/>
  <c r="BO41" i="1"/>
  <c r="BJ41" i="1"/>
  <c r="BI41" i="1"/>
  <c r="BH41" i="1"/>
  <c r="BC41" i="1"/>
  <c r="BB41" i="1"/>
  <c r="BA41" i="1"/>
  <c r="AV41" i="1"/>
  <c r="AU41" i="1"/>
  <c r="AT41" i="1"/>
  <c r="AO41" i="1"/>
  <c r="AN41" i="1"/>
  <c r="AM41" i="1"/>
  <c r="AH41" i="1"/>
  <c r="AG41" i="1"/>
  <c r="AF41" i="1"/>
  <c r="AA41" i="1"/>
  <c r="Z41" i="1"/>
  <c r="Y41" i="1"/>
  <c r="T41" i="1"/>
  <c r="S41" i="1"/>
  <c r="R41" i="1"/>
  <c r="I41" i="1"/>
  <c r="H41" i="1"/>
  <c r="D41" i="1"/>
  <c r="BN41" i="1" s="1"/>
  <c r="CS23" i="1"/>
  <c r="CR23" i="1"/>
  <c r="CQ23" i="1"/>
  <c r="CP23" i="1"/>
  <c r="CL23" i="1"/>
  <c r="CK23" i="1"/>
  <c r="CJ23" i="1"/>
  <c r="CI23" i="1"/>
  <c r="CE23" i="1"/>
  <c r="CD23" i="1"/>
  <c r="CC23" i="1"/>
  <c r="CB23" i="1"/>
  <c r="BX23" i="1"/>
  <c r="BW23" i="1"/>
  <c r="BV23" i="1"/>
  <c r="BU23" i="1"/>
  <c r="BQ23" i="1"/>
  <c r="BP23" i="1"/>
  <c r="BO23" i="1"/>
  <c r="BN23" i="1"/>
  <c r="BJ23" i="1"/>
  <c r="BI23" i="1"/>
  <c r="BH23" i="1"/>
  <c r="BG23" i="1"/>
  <c r="BC23" i="1"/>
  <c r="BB23" i="1"/>
  <c r="BA23" i="1"/>
  <c r="AZ23" i="1"/>
  <c r="AV23" i="1"/>
  <c r="AU23" i="1"/>
  <c r="AT23" i="1"/>
  <c r="AS23" i="1"/>
  <c r="AO23" i="1"/>
  <c r="AN23" i="1"/>
  <c r="AM23" i="1"/>
  <c r="AL23" i="1"/>
  <c r="AH23" i="1"/>
  <c r="AG23" i="1"/>
  <c r="AF23" i="1"/>
  <c r="AE23" i="1"/>
  <c r="AA23" i="1"/>
  <c r="Z23" i="1"/>
  <c r="Y23" i="1"/>
  <c r="X23" i="1"/>
  <c r="T23" i="1"/>
  <c r="S23" i="1"/>
  <c r="R23" i="1"/>
  <c r="Q23" i="1"/>
  <c r="I23" i="1"/>
  <c r="H23" i="1"/>
  <c r="CS22" i="1"/>
  <c r="CR22" i="1"/>
  <c r="CQ22" i="1"/>
  <c r="CP22" i="1"/>
  <c r="CL22" i="1"/>
  <c r="CK22" i="1"/>
  <c r="CJ22" i="1"/>
  <c r="CI22" i="1"/>
  <c r="CE22" i="1"/>
  <c r="CD22" i="1"/>
  <c r="CC22" i="1"/>
  <c r="CB22" i="1"/>
  <c r="BX22" i="1"/>
  <c r="BW22" i="1"/>
  <c r="BV22" i="1"/>
  <c r="BU22" i="1"/>
  <c r="BQ22" i="1"/>
  <c r="BP22" i="1"/>
  <c r="BO22" i="1"/>
  <c r="BN22" i="1"/>
  <c r="BJ22" i="1"/>
  <c r="BI22" i="1"/>
  <c r="BH22" i="1"/>
  <c r="BG22" i="1"/>
  <c r="BC22" i="1"/>
  <c r="BB22" i="1"/>
  <c r="BA22" i="1"/>
  <c r="AZ22" i="1"/>
  <c r="AV22" i="1"/>
  <c r="AU22" i="1"/>
  <c r="AT22" i="1"/>
  <c r="AS22" i="1"/>
  <c r="AO22" i="1"/>
  <c r="AN22" i="1"/>
  <c r="AM22" i="1"/>
  <c r="AL22" i="1"/>
  <c r="AH22" i="1"/>
  <c r="AG22" i="1"/>
  <c r="AF22" i="1"/>
  <c r="AE22" i="1"/>
  <c r="AA22" i="1"/>
  <c r="Z22" i="1"/>
  <c r="Y22" i="1"/>
  <c r="X22" i="1"/>
  <c r="T22" i="1"/>
  <c r="S22" i="1"/>
  <c r="R22" i="1"/>
  <c r="Q22" i="1"/>
  <c r="I22" i="1"/>
  <c r="H22" i="1"/>
  <c r="CS13" i="1"/>
  <c r="CR13" i="1"/>
  <c r="CQ13" i="1"/>
  <c r="CL13" i="1"/>
  <c r="CK13" i="1"/>
  <c r="CJ13" i="1"/>
  <c r="CE13" i="1"/>
  <c r="CD13" i="1"/>
  <c r="CC13" i="1"/>
  <c r="BX13" i="1"/>
  <c r="BW13" i="1"/>
  <c r="BV13" i="1"/>
  <c r="BQ13" i="1"/>
  <c r="BP13" i="1"/>
  <c r="BO13" i="1"/>
  <c r="BJ13" i="1"/>
  <c r="BI13" i="1"/>
  <c r="BH13" i="1"/>
  <c r="BC13" i="1"/>
  <c r="BB13" i="1"/>
  <c r="BA13" i="1"/>
  <c r="AV13" i="1"/>
  <c r="AU13" i="1"/>
  <c r="AT13" i="1"/>
  <c r="AO13" i="1"/>
  <c r="AN13" i="1"/>
  <c r="AM13" i="1"/>
  <c r="AH13" i="1"/>
  <c r="AG13" i="1"/>
  <c r="AF13" i="1"/>
  <c r="AA13" i="1"/>
  <c r="Z13" i="1"/>
  <c r="Y13" i="1"/>
  <c r="T13" i="1"/>
  <c r="S13" i="1"/>
  <c r="R13" i="1"/>
  <c r="I13" i="1"/>
  <c r="H13" i="1"/>
  <c r="D13" i="1"/>
  <c r="CP13" i="1" s="1"/>
  <c r="CS14" i="1"/>
  <c r="CR14" i="1"/>
  <c r="CQ14" i="1"/>
  <c r="CL14" i="1"/>
  <c r="CK14" i="1"/>
  <c r="CJ14" i="1"/>
  <c r="CE14" i="1"/>
  <c r="CD14" i="1"/>
  <c r="CC14" i="1"/>
  <c r="BX14" i="1"/>
  <c r="BW14" i="1"/>
  <c r="BV14" i="1"/>
  <c r="BQ14" i="1"/>
  <c r="BP14" i="1"/>
  <c r="BO14" i="1"/>
  <c r="BJ14" i="1"/>
  <c r="BI14" i="1"/>
  <c r="BH14" i="1"/>
  <c r="BC14" i="1"/>
  <c r="BB14" i="1"/>
  <c r="BA14" i="1"/>
  <c r="AV14" i="1"/>
  <c r="AU14" i="1"/>
  <c r="AT14" i="1"/>
  <c r="AO14" i="1"/>
  <c r="AN14" i="1"/>
  <c r="AM14" i="1"/>
  <c r="AH14" i="1"/>
  <c r="AG14" i="1"/>
  <c r="AF14" i="1"/>
  <c r="AA14" i="1"/>
  <c r="Z14" i="1"/>
  <c r="Y14" i="1"/>
  <c r="T14" i="1"/>
  <c r="S14" i="1"/>
  <c r="R14" i="1"/>
  <c r="I14" i="1"/>
  <c r="H14" i="1"/>
  <c r="D14" i="1"/>
  <c r="CP14" i="1" s="1"/>
  <c r="CS12" i="1"/>
  <c r="CR12" i="1"/>
  <c r="CQ12" i="1"/>
  <c r="CL12" i="1"/>
  <c r="CK12" i="1"/>
  <c r="CJ12" i="1"/>
  <c r="CE12" i="1"/>
  <c r="CD12" i="1"/>
  <c r="CC12" i="1"/>
  <c r="BX12" i="1"/>
  <c r="BW12" i="1"/>
  <c r="BV12" i="1"/>
  <c r="BQ12" i="1"/>
  <c r="BP12" i="1"/>
  <c r="BO12" i="1"/>
  <c r="BJ12" i="1"/>
  <c r="BI12" i="1"/>
  <c r="BH12" i="1"/>
  <c r="BC12" i="1"/>
  <c r="BB12" i="1"/>
  <c r="BA12" i="1"/>
  <c r="AV12" i="1"/>
  <c r="AU12" i="1"/>
  <c r="AT12" i="1"/>
  <c r="AO12" i="1"/>
  <c r="AN12" i="1"/>
  <c r="AM12" i="1"/>
  <c r="AH12" i="1"/>
  <c r="AG12" i="1"/>
  <c r="AF12" i="1"/>
  <c r="AA12" i="1"/>
  <c r="Z12" i="1"/>
  <c r="Y12" i="1"/>
  <c r="T12" i="1"/>
  <c r="S12" i="1"/>
  <c r="R12" i="1"/>
  <c r="I12" i="1"/>
  <c r="H12" i="1"/>
  <c r="D12" i="1"/>
  <c r="CP12" i="1" s="1"/>
  <c r="CS11" i="1"/>
  <c r="CR11" i="1"/>
  <c r="CQ11" i="1"/>
  <c r="CL11" i="1"/>
  <c r="CK11" i="1"/>
  <c r="CJ11" i="1"/>
  <c r="CE11" i="1"/>
  <c r="CD11" i="1"/>
  <c r="CC11" i="1"/>
  <c r="BX11" i="1"/>
  <c r="BW11" i="1"/>
  <c r="BV11" i="1"/>
  <c r="BQ11" i="1"/>
  <c r="BP11" i="1"/>
  <c r="BO11" i="1"/>
  <c r="BJ11" i="1"/>
  <c r="BI11" i="1"/>
  <c r="BH11" i="1"/>
  <c r="BC11" i="1"/>
  <c r="BB11" i="1"/>
  <c r="BA11" i="1"/>
  <c r="AV11" i="1"/>
  <c r="AU11" i="1"/>
  <c r="AT11" i="1"/>
  <c r="AO11" i="1"/>
  <c r="AN11" i="1"/>
  <c r="AM11" i="1"/>
  <c r="AH11" i="1"/>
  <c r="AG11" i="1"/>
  <c r="AF11" i="1"/>
  <c r="AA11" i="1"/>
  <c r="Z11" i="1"/>
  <c r="Y11" i="1"/>
  <c r="T11" i="1"/>
  <c r="S11" i="1"/>
  <c r="R11" i="1"/>
  <c r="I11" i="1"/>
  <c r="H11" i="1"/>
  <c r="D11" i="1"/>
  <c r="Q11" i="1" s="1"/>
  <c r="CS10" i="1"/>
  <c r="CR10" i="1"/>
  <c r="CQ10" i="1"/>
  <c r="CL10" i="1"/>
  <c r="CK10" i="1"/>
  <c r="CJ10" i="1"/>
  <c r="CE10" i="1"/>
  <c r="CD10" i="1"/>
  <c r="CC10" i="1"/>
  <c r="BX10" i="1"/>
  <c r="BW10" i="1"/>
  <c r="BV10" i="1"/>
  <c r="BQ10" i="1"/>
  <c r="BP10" i="1"/>
  <c r="BO10" i="1"/>
  <c r="BJ10" i="1"/>
  <c r="BI10" i="1"/>
  <c r="BH10" i="1"/>
  <c r="BC10" i="1"/>
  <c r="BB10" i="1"/>
  <c r="BA10" i="1"/>
  <c r="AV10" i="1"/>
  <c r="AU10" i="1"/>
  <c r="AT10" i="1"/>
  <c r="AO10" i="1"/>
  <c r="AN10" i="1"/>
  <c r="AM10" i="1"/>
  <c r="AH10" i="1"/>
  <c r="AG10" i="1"/>
  <c r="AF10" i="1"/>
  <c r="AA10" i="1"/>
  <c r="Z10" i="1"/>
  <c r="Y10" i="1"/>
  <c r="T10" i="1"/>
  <c r="S10" i="1"/>
  <c r="R10" i="1"/>
  <c r="I10" i="1"/>
  <c r="H10" i="1"/>
  <c r="D10" i="1"/>
  <c r="CP10" i="1" s="1"/>
  <c r="CS18" i="1"/>
  <c r="CR18" i="1"/>
  <c r="CQ18" i="1"/>
  <c r="CL18" i="1"/>
  <c r="CK18" i="1"/>
  <c r="CJ18" i="1"/>
  <c r="CE18" i="1"/>
  <c r="CD18" i="1"/>
  <c r="CC18" i="1"/>
  <c r="BX18" i="1"/>
  <c r="BW18" i="1"/>
  <c r="BV18" i="1"/>
  <c r="BQ18" i="1"/>
  <c r="BP18" i="1"/>
  <c r="BO18" i="1"/>
  <c r="BJ18" i="1"/>
  <c r="BI18" i="1"/>
  <c r="BH18" i="1"/>
  <c r="BC18" i="1"/>
  <c r="BB18" i="1"/>
  <c r="BA18" i="1"/>
  <c r="AV18" i="1"/>
  <c r="AU18" i="1"/>
  <c r="AT18" i="1"/>
  <c r="AO18" i="1"/>
  <c r="AN18" i="1"/>
  <c r="AM18" i="1"/>
  <c r="AH18" i="1"/>
  <c r="AG18" i="1"/>
  <c r="AF18" i="1"/>
  <c r="AA18" i="1"/>
  <c r="Z18" i="1"/>
  <c r="Y18" i="1"/>
  <c r="T18" i="1"/>
  <c r="S18" i="1"/>
  <c r="R18" i="1"/>
  <c r="I18" i="1"/>
  <c r="H18" i="1"/>
  <c r="D18" i="1"/>
  <c r="CP18" i="1" s="1"/>
  <c r="CS17" i="1"/>
  <c r="CR17" i="1"/>
  <c r="CQ17" i="1"/>
  <c r="CL17" i="1"/>
  <c r="CK17" i="1"/>
  <c r="CJ17" i="1"/>
  <c r="CE17" i="1"/>
  <c r="CD17" i="1"/>
  <c r="CC17" i="1"/>
  <c r="BX17" i="1"/>
  <c r="BW17" i="1"/>
  <c r="BV17" i="1"/>
  <c r="BQ17" i="1"/>
  <c r="BP17" i="1"/>
  <c r="BO17" i="1"/>
  <c r="BJ17" i="1"/>
  <c r="BI17" i="1"/>
  <c r="BH17" i="1"/>
  <c r="BC17" i="1"/>
  <c r="BB17" i="1"/>
  <c r="BA17" i="1"/>
  <c r="AV17" i="1"/>
  <c r="AU17" i="1"/>
  <c r="AT17" i="1"/>
  <c r="AO17" i="1"/>
  <c r="AN17" i="1"/>
  <c r="AM17" i="1"/>
  <c r="AH17" i="1"/>
  <c r="AG17" i="1"/>
  <c r="AF17" i="1"/>
  <c r="AA17" i="1"/>
  <c r="Z17" i="1"/>
  <c r="Y17" i="1"/>
  <c r="T17" i="1"/>
  <c r="S17" i="1"/>
  <c r="R17" i="1"/>
  <c r="I17" i="1"/>
  <c r="H17" i="1"/>
  <c r="D17" i="1"/>
  <c r="CP17" i="1" s="1"/>
  <c r="CS15" i="1"/>
  <c r="CR15" i="1"/>
  <c r="CQ15" i="1"/>
  <c r="CL15" i="1"/>
  <c r="CK15" i="1"/>
  <c r="CJ15" i="1"/>
  <c r="CE15" i="1"/>
  <c r="CD15" i="1"/>
  <c r="CC15" i="1"/>
  <c r="BX15" i="1"/>
  <c r="BW15" i="1"/>
  <c r="BV15" i="1"/>
  <c r="BQ15" i="1"/>
  <c r="BP15" i="1"/>
  <c r="BO15" i="1"/>
  <c r="BJ15" i="1"/>
  <c r="BI15" i="1"/>
  <c r="BH15" i="1"/>
  <c r="BC15" i="1"/>
  <c r="BB15" i="1"/>
  <c r="BA15" i="1"/>
  <c r="AV15" i="1"/>
  <c r="AU15" i="1"/>
  <c r="AT15" i="1"/>
  <c r="AO15" i="1"/>
  <c r="AN15" i="1"/>
  <c r="AM15" i="1"/>
  <c r="AH15" i="1"/>
  <c r="AG15" i="1"/>
  <c r="AF15" i="1"/>
  <c r="AA15" i="1"/>
  <c r="Z15" i="1"/>
  <c r="Y15" i="1"/>
  <c r="T15" i="1"/>
  <c r="S15" i="1"/>
  <c r="R15" i="1"/>
  <c r="I15" i="1"/>
  <c r="H15" i="1"/>
  <c r="D15" i="1"/>
  <c r="CP15" i="1" s="1"/>
  <c r="I48" i="1"/>
  <c r="H48" i="1"/>
  <c r="I40" i="1"/>
  <c r="H40" i="1"/>
  <c r="I39" i="1"/>
  <c r="H39" i="1"/>
  <c r="I38" i="1"/>
  <c r="H38" i="1"/>
  <c r="I37" i="1"/>
  <c r="H37" i="1"/>
  <c r="I35" i="1"/>
  <c r="H35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1" i="1"/>
  <c r="H21" i="1"/>
  <c r="I20" i="1"/>
  <c r="H20" i="1"/>
  <c r="I19" i="1"/>
  <c r="H19" i="1"/>
  <c r="I16" i="1"/>
  <c r="H16" i="1"/>
  <c r="I9" i="1"/>
  <c r="H9" i="1"/>
  <c r="I8" i="1"/>
  <c r="H8" i="1"/>
  <c r="T49" i="1"/>
  <c r="S49" i="1"/>
  <c r="R49" i="1"/>
  <c r="Q49" i="1"/>
  <c r="T48" i="1"/>
  <c r="S48" i="1"/>
  <c r="R48" i="1"/>
  <c r="T40" i="1"/>
  <c r="S40" i="1"/>
  <c r="R40" i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Q35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T25" i="1"/>
  <c r="S25" i="1"/>
  <c r="R25" i="1"/>
  <c r="Q25" i="1"/>
  <c r="T24" i="1"/>
  <c r="S24" i="1"/>
  <c r="R24" i="1"/>
  <c r="Q24" i="1"/>
  <c r="T21" i="1"/>
  <c r="S21" i="1"/>
  <c r="R21" i="1"/>
  <c r="Q21" i="1"/>
  <c r="T20" i="1"/>
  <c r="S20" i="1"/>
  <c r="R20" i="1"/>
  <c r="Q20" i="1"/>
  <c r="T19" i="1"/>
  <c r="S19" i="1"/>
  <c r="R19" i="1"/>
  <c r="T16" i="1"/>
  <c r="S16" i="1"/>
  <c r="R16" i="1"/>
  <c r="T9" i="1"/>
  <c r="S9" i="1"/>
  <c r="R9" i="1"/>
  <c r="T8" i="1"/>
  <c r="S8" i="1"/>
  <c r="R8" i="1"/>
  <c r="AA49" i="1"/>
  <c r="Z49" i="1"/>
  <c r="Y49" i="1"/>
  <c r="X49" i="1"/>
  <c r="AA48" i="1"/>
  <c r="Z48" i="1"/>
  <c r="Y48" i="1"/>
  <c r="AA40" i="1"/>
  <c r="Z40" i="1"/>
  <c r="Y40" i="1"/>
  <c r="AA39" i="1"/>
  <c r="Z39" i="1"/>
  <c r="Y39" i="1"/>
  <c r="AA38" i="1"/>
  <c r="Z38" i="1"/>
  <c r="Y38" i="1"/>
  <c r="AA37" i="1"/>
  <c r="Z37" i="1"/>
  <c r="Y37" i="1"/>
  <c r="AA36" i="1"/>
  <c r="Z36" i="1"/>
  <c r="Y36" i="1"/>
  <c r="AA35" i="1"/>
  <c r="Z35" i="1"/>
  <c r="Y35" i="1"/>
  <c r="X35" i="1"/>
  <c r="AA30" i="1"/>
  <c r="Z30" i="1"/>
  <c r="Y30" i="1"/>
  <c r="X30" i="1"/>
  <c r="AA29" i="1"/>
  <c r="Z29" i="1"/>
  <c r="Y29" i="1"/>
  <c r="X29" i="1"/>
  <c r="AA28" i="1"/>
  <c r="Z28" i="1"/>
  <c r="Y28" i="1"/>
  <c r="X28" i="1"/>
  <c r="AA27" i="1"/>
  <c r="Z27" i="1"/>
  <c r="Y27" i="1"/>
  <c r="X27" i="1"/>
  <c r="AA26" i="1"/>
  <c r="Z26" i="1"/>
  <c r="Y26" i="1"/>
  <c r="X26" i="1"/>
  <c r="AA25" i="1"/>
  <c r="Z25" i="1"/>
  <c r="Y25" i="1"/>
  <c r="X25" i="1"/>
  <c r="AA24" i="1"/>
  <c r="Z24" i="1"/>
  <c r="Y24" i="1"/>
  <c r="X24" i="1"/>
  <c r="AA21" i="1"/>
  <c r="Z21" i="1"/>
  <c r="Y21" i="1"/>
  <c r="X21" i="1"/>
  <c r="AA20" i="1"/>
  <c r="Z20" i="1"/>
  <c r="Y20" i="1"/>
  <c r="X20" i="1"/>
  <c r="AA19" i="1"/>
  <c r="Z19" i="1"/>
  <c r="Y19" i="1"/>
  <c r="AA16" i="1"/>
  <c r="Z16" i="1"/>
  <c r="Y16" i="1"/>
  <c r="AA9" i="1"/>
  <c r="Z9" i="1"/>
  <c r="Y9" i="1"/>
  <c r="AA8" i="1"/>
  <c r="Z8" i="1"/>
  <c r="Y8" i="1"/>
  <c r="AH49" i="1"/>
  <c r="AG49" i="1"/>
  <c r="AF49" i="1"/>
  <c r="AE49" i="1"/>
  <c r="AH40" i="1"/>
  <c r="AG40" i="1"/>
  <c r="AF40" i="1"/>
  <c r="AH39" i="1"/>
  <c r="AG39" i="1"/>
  <c r="AF39" i="1"/>
  <c r="AH38" i="1"/>
  <c r="AG38" i="1"/>
  <c r="AF38" i="1"/>
  <c r="AH37" i="1"/>
  <c r="AG37" i="1"/>
  <c r="AF37" i="1"/>
  <c r="AH36" i="1"/>
  <c r="AG36" i="1"/>
  <c r="AF36" i="1"/>
  <c r="AH30" i="1"/>
  <c r="AG30" i="1"/>
  <c r="AF30" i="1"/>
  <c r="AE30" i="1"/>
  <c r="AH29" i="1"/>
  <c r="AG29" i="1"/>
  <c r="AF29" i="1"/>
  <c r="AE29" i="1"/>
  <c r="AH28" i="1"/>
  <c r="AG28" i="1"/>
  <c r="AF28" i="1"/>
  <c r="AE28" i="1"/>
  <c r="AH27" i="1"/>
  <c r="AG27" i="1"/>
  <c r="AF27" i="1"/>
  <c r="AE27" i="1"/>
  <c r="AH26" i="1"/>
  <c r="AG26" i="1"/>
  <c r="AF26" i="1"/>
  <c r="AE26" i="1"/>
  <c r="AH25" i="1"/>
  <c r="AG25" i="1"/>
  <c r="AF25" i="1"/>
  <c r="AE25" i="1"/>
  <c r="AH24" i="1"/>
  <c r="AG24" i="1"/>
  <c r="AF24" i="1"/>
  <c r="AE24" i="1"/>
  <c r="AH21" i="1"/>
  <c r="AG21" i="1"/>
  <c r="AF21" i="1"/>
  <c r="AE21" i="1"/>
  <c r="AH20" i="1"/>
  <c r="AG20" i="1"/>
  <c r="AF20" i="1"/>
  <c r="AE20" i="1"/>
  <c r="AH19" i="1"/>
  <c r="AG19" i="1"/>
  <c r="AF19" i="1"/>
  <c r="AH16" i="1"/>
  <c r="AG16" i="1"/>
  <c r="AF16" i="1"/>
  <c r="AH9" i="1"/>
  <c r="AG9" i="1"/>
  <c r="AF9" i="1"/>
  <c r="AH8" i="1"/>
  <c r="AG8" i="1"/>
  <c r="AF8" i="1"/>
  <c r="CS49" i="1"/>
  <c r="CR49" i="1"/>
  <c r="CQ49" i="1"/>
  <c r="CP49" i="1"/>
  <c r="CL49" i="1"/>
  <c r="CK49" i="1"/>
  <c r="CJ49" i="1"/>
  <c r="CI49" i="1"/>
  <c r="CE49" i="1"/>
  <c r="CD49" i="1"/>
  <c r="CC49" i="1"/>
  <c r="CB49" i="1"/>
  <c r="BX49" i="1"/>
  <c r="BW49" i="1"/>
  <c r="BV49" i="1"/>
  <c r="BU49" i="1"/>
  <c r="BQ49" i="1"/>
  <c r="BP49" i="1"/>
  <c r="BO49" i="1"/>
  <c r="BN49" i="1"/>
  <c r="BJ49" i="1"/>
  <c r="BI49" i="1"/>
  <c r="BH49" i="1"/>
  <c r="BG49" i="1"/>
  <c r="BC49" i="1"/>
  <c r="BB49" i="1"/>
  <c r="BA49" i="1"/>
  <c r="AZ49" i="1"/>
  <c r="AV49" i="1"/>
  <c r="AU49" i="1"/>
  <c r="AT49" i="1"/>
  <c r="AS49" i="1"/>
  <c r="AO49" i="1"/>
  <c r="AN49" i="1"/>
  <c r="AM49" i="1"/>
  <c r="AL49" i="1"/>
  <c r="I49" i="1"/>
  <c r="H49" i="1"/>
  <c r="CS48" i="1"/>
  <c r="CR48" i="1"/>
  <c r="CQ48" i="1"/>
  <c r="CL48" i="1"/>
  <c r="CK48" i="1"/>
  <c r="CJ48" i="1"/>
  <c r="CE48" i="1"/>
  <c r="CD48" i="1"/>
  <c r="CC48" i="1"/>
  <c r="BX48" i="1"/>
  <c r="BW48" i="1"/>
  <c r="BV48" i="1"/>
  <c r="BQ48" i="1"/>
  <c r="BP48" i="1"/>
  <c r="BO48" i="1"/>
  <c r="BJ48" i="1"/>
  <c r="BI48" i="1"/>
  <c r="BH48" i="1"/>
  <c r="BC48" i="1"/>
  <c r="BB48" i="1"/>
  <c r="BA48" i="1"/>
  <c r="AV48" i="1"/>
  <c r="AU48" i="1"/>
  <c r="AT48" i="1"/>
  <c r="D48" i="1"/>
  <c r="CI48" i="1" s="1"/>
  <c r="CS40" i="1"/>
  <c r="CR40" i="1"/>
  <c r="CQ40" i="1"/>
  <c r="CL40" i="1"/>
  <c r="CK40" i="1"/>
  <c r="CJ40" i="1"/>
  <c r="CE40" i="1"/>
  <c r="CD40" i="1"/>
  <c r="CC40" i="1"/>
  <c r="BX40" i="1"/>
  <c r="BW40" i="1"/>
  <c r="BV40" i="1"/>
  <c r="BQ40" i="1"/>
  <c r="BP40" i="1"/>
  <c r="BO40" i="1"/>
  <c r="BJ40" i="1"/>
  <c r="BI40" i="1"/>
  <c r="BH40" i="1"/>
  <c r="BC40" i="1"/>
  <c r="BB40" i="1"/>
  <c r="BA40" i="1"/>
  <c r="AV40" i="1"/>
  <c r="AU40" i="1"/>
  <c r="AT40" i="1"/>
  <c r="AO40" i="1"/>
  <c r="AN40" i="1"/>
  <c r="AM40" i="1"/>
  <c r="D40" i="1"/>
  <c r="AZ40" i="1" s="1"/>
  <c r="CS39" i="1"/>
  <c r="CR39" i="1"/>
  <c r="CQ39" i="1"/>
  <c r="CL39" i="1"/>
  <c r="CK39" i="1"/>
  <c r="CJ39" i="1"/>
  <c r="CE39" i="1"/>
  <c r="CD39" i="1"/>
  <c r="CC39" i="1"/>
  <c r="BX39" i="1"/>
  <c r="BW39" i="1"/>
  <c r="BV39" i="1"/>
  <c r="BQ39" i="1"/>
  <c r="BP39" i="1"/>
  <c r="BO39" i="1"/>
  <c r="BJ39" i="1"/>
  <c r="BI39" i="1"/>
  <c r="BH39" i="1"/>
  <c r="BC39" i="1"/>
  <c r="BB39" i="1"/>
  <c r="BA39" i="1"/>
  <c r="AV39" i="1"/>
  <c r="AU39" i="1"/>
  <c r="AT39" i="1"/>
  <c r="AO39" i="1"/>
  <c r="AN39" i="1"/>
  <c r="AM39" i="1"/>
  <c r="D39" i="1"/>
  <c r="AE39" i="1" s="1"/>
  <c r="CS38" i="1"/>
  <c r="CR38" i="1"/>
  <c r="CQ38" i="1"/>
  <c r="CL38" i="1"/>
  <c r="CK38" i="1"/>
  <c r="CJ38" i="1"/>
  <c r="CE38" i="1"/>
  <c r="CD38" i="1"/>
  <c r="CC38" i="1"/>
  <c r="BX38" i="1"/>
  <c r="BW38" i="1"/>
  <c r="BV38" i="1"/>
  <c r="BQ38" i="1"/>
  <c r="BP38" i="1"/>
  <c r="BO38" i="1"/>
  <c r="BJ38" i="1"/>
  <c r="BI38" i="1"/>
  <c r="BH38" i="1"/>
  <c r="BC38" i="1"/>
  <c r="BB38" i="1"/>
  <c r="BA38" i="1"/>
  <c r="AV38" i="1"/>
  <c r="AU38" i="1"/>
  <c r="AT38" i="1"/>
  <c r="AO38" i="1"/>
  <c r="AN38" i="1"/>
  <c r="AM38" i="1"/>
  <c r="D38" i="1"/>
  <c r="BN38" i="1" s="1"/>
  <c r="CS37" i="1"/>
  <c r="CR37" i="1"/>
  <c r="CQ37" i="1"/>
  <c r="CL37" i="1"/>
  <c r="CK37" i="1"/>
  <c r="CJ37" i="1"/>
  <c r="CE37" i="1"/>
  <c r="CD37" i="1"/>
  <c r="CC37" i="1"/>
  <c r="BX37" i="1"/>
  <c r="BW37" i="1"/>
  <c r="BV37" i="1"/>
  <c r="BQ37" i="1"/>
  <c r="BP37" i="1"/>
  <c r="BO37" i="1"/>
  <c r="BJ37" i="1"/>
  <c r="BI37" i="1"/>
  <c r="BH37" i="1"/>
  <c r="BC37" i="1"/>
  <c r="BB37" i="1"/>
  <c r="BA37" i="1"/>
  <c r="AV37" i="1"/>
  <c r="AU37" i="1"/>
  <c r="AT37" i="1"/>
  <c r="AO37" i="1"/>
  <c r="AN37" i="1"/>
  <c r="AM37" i="1"/>
  <c r="D37" i="1"/>
  <c r="AE37" i="1" s="1"/>
  <c r="CS36" i="1"/>
  <c r="CR36" i="1"/>
  <c r="CQ36" i="1"/>
  <c r="CL36" i="1"/>
  <c r="CK36" i="1"/>
  <c r="CJ36" i="1"/>
  <c r="CE36" i="1"/>
  <c r="CD36" i="1"/>
  <c r="CC36" i="1"/>
  <c r="BX36" i="1"/>
  <c r="BW36" i="1"/>
  <c r="BV36" i="1"/>
  <c r="BQ36" i="1"/>
  <c r="BP36" i="1"/>
  <c r="BO36" i="1"/>
  <c r="BJ36" i="1"/>
  <c r="BI36" i="1"/>
  <c r="BH36" i="1"/>
  <c r="BC36" i="1"/>
  <c r="BB36" i="1"/>
  <c r="BA36" i="1"/>
  <c r="AV36" i="1"/>
  <c r="AU36" i="1"/>
  <c r="AT36" i="1"/>
  <c r="AO36" i="1"/>
  <c r="AN36" i="1"/>
  <c r="AM36" i="1"/>
  <c r="D36" i="1"/>
  <c r="CB36" i="1" s="1"/>
  <c r="CS35" i="1"/>
  <c r="CR35" i="1"/>
  <c r="CQ35" i="1"/>
  <c r="CP35" i="1"/>
  <c r="CL35" i="1"/>
  <c r="CK35" i="1"/>
  <c r="CJ35" i="1"/>
  <c r="CI35" i="1"/>
  <c r="CE35" i="1"/>
  <c r="CD35" i="1"/>
  <c r="CC35" i="1"/>
  <c r="CB35" i="1"/>
  <c r="BX35" i="1"/>
  <c r="BW35" i="1"/>
  <c r="BV35" i="1"/>
  <c r="BU35" i="1"/>
  <c r="BQ35" i="1"/>
  <c r="BP35" i="1"/>
  <c r="BO35" i="1"/>
  <c r="BN35" i="1"/>
  <c r="BJ35" i="1"/>
  <c r="BI35" i="1"/>
  <c r="BH35" i="1"/>
  <c r="BG35" i="1"/>
  <c r="BC35" i="1"/>
  <c r="BB35" i="1"/>
  <c r="BA35" i="1"/>
  <c r="AZ35" i="1"/>
  <c r="AO35" i="1"/>
  <c r="AN35" i="1"/>
  <c r="AM35" i="1"/>
  <c r="AL35" i="1"/>
  <c r="CS30" i="1"/>
  <c r="CR30" i="1"/>
  <c r="CQ30" i="1"/>
  <c r="CP30" i="1"/>
  <c r="CL30" i="1"/>
  <c r="CK30" i="1"/>
  <c r="CJ30" i="1"/>
  <c r="CI30" i="1"/>
  <c r="CE30" i="1"/>
  <c r="CD30" i="1"/>
  <c r="CC30" i="1"/>
  <c r="CB30" i="1"/>
  <c r="BX30" i="1"/>
  <c r="BW30" i="1"/>
  <c r="BV30" i="1"/>
  <c r="BU30" i="1"/>
  <c r="BQ30" i="1"/>
  <c r="BP30" i="1"/>
  <c r="BO30" i="1"/>
  <c r="BN30" i="1"/>
  <c r="BJ30" i="1"/>
  <c r="BI30" i="1"/>
  <c r="BH30" i="1"/>
  <c r="BG30" i="1"/>
  <c r="BC30" i="1"/>
  <c r="BB30" i="1"/>
  <c r="BA30" i="1"/>
  <c r="AZ30" i="1"/>
  <c r="AV30" i="1"/>
  <c r="AU30" i="1"/>
  <c r="AT30" i="1"/>
  <c r="AS30" i="1"/>
  <c r="CS29" i="1"/>
  <c r="CR29" i="1"/>
  <c r="CQ29" i="1"/>
  <c r="CP29" i="1"/>
  <c r="CL29" i="1"/>
  <c r="CK29" i="1"/>
  <c r="CJ29" i="1"/>
  <c r="CI29" i="1"/>
  <c r="CE29" i="1"/>
  <c r="CD29" i="1"/>
  <c r="CC29" i="1"/>
  <c r="CB29" i="1"/>
  <c r="BX29" i="1"/>
  <c r="BW29" i="1"/>
  <c r="BV29" i="1"/>
  <c r="BU29" i="1"/>
  <c r="BQ29" i="1"/>
  <c r="BP29" i="1"/>
  <c r="BO29" i="1"/>
  <c r="BN29" i="1"/>
  <c r="BJ29" i="1"/>
  <c r="BI29" i="1"/>
  <c r="BH29" i="1"/>
  <c r="BG29" i="1"/>
  <c r="BC29" i="1"/>
  <c r="BB29" i="1"/>
  <c r="BA29" i="1"/>
  <c r="AZ29" i="1"/>
  <c r="AV29" i="1"/>
  <c r="AU29" i="1"/>
  <c r="AT29" i="1"/>
  <c r="AS29" i="1"/>
  <c r="AO29" i="1"/>
  <c r="AN29" i="1"/>
  <c r="AM29" i="1"/>
  <c r="AL29" i="1"/>
  <c r="CS28" i="1"/>
  <c r="CR28" i="1"/>
  <c r="CQ28" i="1"/>
  <c r="CP28" i="1"/>
  <c r="CL28" i="1"/>
  <c r="CK28" i="1"/>
  <c r="CJ28" i="1"/>
  <c r="CI28" i="1"/>
  <c r="CE28" i="1"/>
  <c r="CD28" i="1"/>
  <c r="CC28" i="1"/>
  <c r="CB28" i="1"/>
  <c r="BX28" i="1"/>
  <c r="BW28" i="1"/>
  <c r="BV28" i="1"/>
  <c r="BU28" i="1"/>
  <c r="BQ28" i="1"/>
  <c r="BP28" i="1"/>
  <c r="BO28" i="1"/>
  <c r="BN28" i="1"/>
  <c r="BJ28" i="1"/>
  <c r="BI28" i="1"/>
  <c r="BH28" i="1"/>
  <c r="BG28" i="1"/>
  <c r="BC28" i="1"/>
  <c r="BB28" i="1"/>
  <c r="BA28" i="1"/>
  <c r="AZ28" i="1"/>
  <c r="AV28" i="1"/>
  <c r="AU28" i="1"/>
  <c r="AT28" i="1"/>
  <c r="AS28" i="1"/>
  <c r="AO28" i="1"/>
  <c r="AN28" i="1"/>
  <c r="AM28" i="1"/>
  <c r="AL28" i="1"/>
  <c r="CS27" i="1"/>
  <c r="CP27" i="1"/>
  <c r="CL27" i="1"/>
  <c r="CK27" i="1"/>
  <c r="CJ27" i="1"/>
  <c r="CI27" i="1"/>
  <c r="CE27" i="1"/>
  <c r="CD27" i="1"/>
  <c r="CC27" i="1"/>
  <c r="CB27" i="1"/>
  <c r="BX27" i="1"/>
  <c r="BW27" i="1"/>
  <c r="BV27" i="1"/>
  <c r="BU27" i="1"/>
  <c r="BQ27" i="1"/>
  <c r="BP27" i="1"/>
  <c r="BO27" i="1"/>
  <c r="BN27" i="1"/>
  <c r="BJ27" i="1"/>
  <c r="BI27" i="1"/>
  <c r="BH27" i="1"/>
  <c r="BG27" i="1"/>
  <c r="BC27" i="1"/>
  <c r="BB27" i="1"/>
  <c r="BA27" i="1"/>
  <c r="AZ27" i="1"/>
  <c r="AV27" i="1"/>
  <c r="AU27" i="1"/>
  <c r="AT27" i="1"/>
  <c r="AS27" i="1"/>
  <c r="AO27" i="1"/>
  <c r="AN27" i="1"/>
  <c r="AM27" i="1"/>
  <c r="AL27" i="1"/>
  <c r="CS26" i="1"/>
  <c r="CR26" i="1"/>
  <c r="CQ26" i="1"/>
  <c r="CP26" i="1"/>
  <c r="CL26" i="1"/>
  <c r="CK26" i="1"/>
  <c r="CJ26" i="1"/>
  <c r="CI26" i="1"/>
  <c r="CE26" i="1"/>
  <c r="CD26" i="1"/>
  <c r="CC26" i="1"/>
  <c r="CB26" i="1"/>
  <c r="BX26" i="1"/>
  <c r="BW26" i="1"/>
  <c r="BV26" i="1"/>
  <c r="BU26" i="1"/>
  <c r="BQ26" i="1"/>
  <c r="BP26" i="1"/>
  <c r="BO26" i="1"/>
  <c r="BN26" i="1"/>
  <c r="BJ26" i="1"/>
  <c r="BI26" i="1"/>
  <c r="BH26" i="1"/>
  <c r="BG26" i="1"/>
  <c r="BC26" i="1"/>
  <c r="BB26" i="1"/>
  <c r="BA26" i="1"/>
  <c r="AZ26" i="1"/>
  <c r="AV26" i="1"/>
  <c r="AU26" i="1"/>
  <c r="AT26" i="1"/>
  <c r="AS26" i="1"/>
  <c r="AO26" i="1"/>
  <c r="AN26" i="1"/>
  <c r="AM26" i="1"/>
  <c r="AL26" i="1"/>
  <c r="CS25" i="1"/>
  <c r="CR25" i="1"/>
  <c r="CQ25" i="1"/>
  <c r="CP25" i="1"/>
  <c r="CL25" i="1"/>
  <c r="CK25" i="1"/>
  <c r="CJ25" i="1"/>
  <c r="CI25" i="1"/>
  <c r="CE25" i="1"/>
  <c r="CD25" i="1"/>
  <c r="CC25" i="1"/>
  <c r="CB25" i="1"/>
  <c r="BX25" i="1"/>
  <c r="BW25" i="1"/>
  <c r="BV25" i="1"/>
  <c r="BU25" i="1"/>
  <c r="BQ25" i="1"/>
  <c r="BP25" i="1"/>
  <c r="BO25" i="1"/>
  <c r="BN25" i="1"/>
  <c r="BJ25" i="1"/>
  <c r="BI25" i="1"/>
  <c r="BH25" i="1"/>
  <c r="BG25" i="1"/>
  <c r="BC25" i="1"/>
  <c r="BB25" i="1"/>
  <c r="BA25" i="1"/>
  <c r="AZ25" i="1"/>
  <c r="AV25" i="1"/>
  <c r="AU25" i="1"/>
  <c r="AT25" i="1"/>
  <c r="AS25" i="1"/>
  <c r="AO25" i="1"/>
  <c r="AN25" i="1"/>
  <c r="AM25" i="1"/>
  <c r="AL25" i="1"/>
  <c r="CS24" i="1"/>
  <c r="CR24" i="1"/>
  <c r="CQ24" i="1"/>
  <c r="CP24" i="1"/>
  <c r="CL24" i="1"/>
  <c r="CK24" i="1"/>
  <c r="CJ24" i="1"/>
  <c r="CI24" i="1"/>
  <c r="CE24" i="1"/>
  <c r="CD24" i="1"/>
  <c r="CC24" i="1"/>
  <c r="CB24" i="1"/>
  <c r="BX24" i="1"/>
  <c r="BW24" i="1"/>
  <c r="BV24" i="1"/>
  <c r="BU24" i="1"/>
  <c r="BQ24" i="1"/>
  <c r="BP24" i="1"/>
  <c r="BO24" i="1"/>
  <c r="BN24" i="1"/>
  <c r="BJ24" i="1"/>
  <c r="BI24" i="1"/>
  <c r="BH24" i="1"/>
  <c r="BG24" i="1"/>
  <c r="BC24" i="1"/>
  <c r="BB24" i="1"/>
  <c r="BA24" i="1"/>
  <c r="AZ24" i="1"/>
  <c r="AV24" i="1"/>
  <c r="AU24" i="1"/>
  <c r="AT24" i="1"/>
  <c r="AS24" i="1"/>
  <c r="AO24" i="1"/>
  <c r="AN24" i="1"/>
  <c r="AM24" i="1"/>
  <c r="AL24" i="1"/>
  <c r="CS21" i="1"/>
  <c r="CR21" i="1"/>
  <c r="CQ21" i="1"/>
  <c r="CP21" i="1"/>
  <c r="CL21" i="1"/>
  <c r="CK21" i="1"/>
  <c r="CJ21" i="1"/>
  <c r="CI21" i="1"/>
  <c r="CE21" i="1"/>
  <c r="CD21" i="1"/>
  <c r="CC21" i="1"/>
  <c r="CB21" i="1"/>
  <c r="BX21" i="1"/>
  <c r="BW21" i="1"/>
  <c r="BV21" i="1"/>
  <c r="BU21" i="1"/>
  <c r="BQ21" i="1"/>
  <c r="BP21" i="1"/>
  <c r="BO21" i="1"/>
  <c r="BN21" i="1"/>
  <c r="BJ21" i="1"/>
  <c r="BI21" i="1"/>
  <c r="BH21" i="1"/>
  <c r="BG21" i="1"/>
  <c r="BC21" i="1"/>
  <c r="BB21" i="1"/>
  <c r="BA21" i="1"/>
  <c r="AZ21" i="1"/>
  <c r="AV21" i="1"/>
  <c r="AU21" i="1"/>
  <c r="AT21" i="1"/>
  <c r="AS21" i="1"/>
  <c r="AO21" i="1"/>
  <c r="AN21" i="1"/>
  <c r="AM21" i="1"/>
  <c r="AL21" i="1"/>
  <c r="CS20" i="1"/>
  <c r="CR20" i="1"/>
  <c r="CQ20" i="1"/>
  <c r="CP20" i="1"/>
  <c r="CL20" i="1"/>
  <c r="CK20" i="1"/>
  <c r="CJ20" i="1"/>
  <c r="CI20" i="1"/>
  <c r="CE20" i="1"/>
  <c r="CD20" i="1"/>
  <c r="CC20" i="1"/>
  <c r="CB20" i="1"/>
  <c r="BX20" i="1"/>
  <c r="BW20" i="1"/>
  <c r="BV20" i="1"/>
  <c r="BU20" i="1"/>
  <c r="BQ20" i="1"/>
  <c r="BP20" i="1"/>
  <c r="BO20" i="1"/>
  <c r="BN20" i="1"/>
  <c r="BJ20" i="1"/>
  <c r="BI20" i="1"/>
  <c r="BH20" i="1"/>
  <c r="BG20" i="1"/>
  <c r="BC20" i="1"/>
  <c r="BB20" i="1"/>
  <c r="BA20" i="1"/>
  <c r="AZ20" i="1"/>
  <c r="AV20" i="1"/>
  <c r="AU20" i="1"/>
  <c r="AT20" i="1"/>
  <c r="AS20" i="1"/>
  <c r="AO20" i="1"/>
  <c r="AN20" i="1"/>
  <c r="AM20" i="1"/>
  <c r="AL20" i="1"/>
  <c r="CS19" i="1"/>
  <c r="CR19" i="1"/>
  <c r="CQ19" i="1"/>
  <c r="CL19" i="1"/>
  <c r="CK19" i="1"/>
  <c r="CJ19" i="1"/>
  <c r="CE19" i="1"/>
  <c r="CD19" i="1"/>
  <c r="CC19" i="1"/>
  <c r="BX19" i="1"/>
  <c r="BW19" i="1"/>
  <c r="BV19" i="1"/>
  <c r="BQ19" i="1"/>
  <c r="BP19" i="1"/>
  <c r="BO19" i="1"/>
  <c r="BJ19" i="1"/>
  <c r="BI19" i="1"/>
  <c r="BH19" i="1"/>
  <c r="BC19" i="1"/>
  <c r="BB19" i="1"/>
  <c r="BA19" i="1"/>
  <c r="AV19" i="1"/>
  <c r="AU19" i="1"/>
  <c r="AT19" i="1"/>
  <c r="AO19" i="1"/>
  <c r="AN19" i="1"/>
  <c r="AM19" i="1"/>
  <c r="D19" i="1"/>
  <c r="AL19" i="1" s="1"/>
  <c r="CS16" i="1"/>
  <c r="CR16" i="1"/>
  <c r="CQ16" i="1"/>
  <c r="CL16" i="1"/>
  <c r="CK16" i="1"/>
  <c r="CJ16" i="1"/>
  <c r="CE16" i="1"/>
  <c r="CD16" i="1"/>
  <c r="CC16" i="1"/>
  <c r="BX16" i="1"/>
  <c r="BW16" i="1"/>
  <c r="BV16" i="1"/>
  <c r="BQ16" i="1"/>
  <c r="BP16" i="1"/>
  <c r="BO16" i="1"/>
  <c r="BJ16" i="1"/>
  <c r="BI16" i="1"/>
  <c r="BH16" i="1"/>
  <c r="BC16" i="1"/>
  <c r="BB16" i="1"/>
  <c r="BA16" i="1"/>
  <c r="AV16" i="1"/>
  <c r="AU16" i="1"/>
  <c r="AT16" i="1"/>
  <c r="AO16" i="1"/>
  <c r="AN16" i="1"/>
  <c r="AM16" i="1"/>
  <c r="D16" i="1"/>
  <c r="AZ16" i="1" s="1"/>
  <c r="CS9" i="1"/>
  <c r="CR9" i="1"/>
  <c r="CQ9" i="1"/>
  <c r="CL9" i="1"/>
  <c r="CK9" i="1"/>
  <c r="CJ9" i="1"/>
  <c r="CE9" i="1"/>
  <c r="CD9" i="1"/>
  <c r="CC9" i="1"/>
  <c r="BX9" i="1"/>
  <c r="BW9" i="1"/>
  <c r="BV9" i="1"/>
  <c r="BQ9" i="1"/>
  <c r="BP9" i="1"/>
  <c r="BO9" i="1"/>
  <c r="BJ9" i="1"/>
  <c r="BI9" i="1"/>
  <c r="BH9" i="1"/>
  <c r="BC9" i="1"/>
  <c r="BB9" i="1"/>
  <c r="BA9" i="1"/>
  <c r="AV9" i="1"/>
  <c r="AU9" i="1"/>
  <c r="AT9" i="1"/>
  <c r="AO9" i="1"/>
  <c r="AN9" i="1"/>
  <c r="AM9" i="1"/>
  <c r="D9" i="1"/>
  <c r="AZ9" i="1" s="1"/>
  <c r="CS8" i="1"/>
  <c r="CR8" i="1"/>
  <c r="CQ8" i="1"/>
  <c r="CL8" i="1"/>
  <c r="CK8" i="1"/>
  <c r="CJ8" i="1"/>
  <c r="CE8" i="1"/>
  <c r="CD8" i="1"/>
  <c r="CC8" i="1"/>
  <c r="BX8" i="1"/>
  <c r="BW8" i="1"/>
  <c r="BV8" i="1"/>
  <c r="BQ8" i="1"/>
  <c r="BP8" i="1"/>
  <c r="BO8" i="1"/>
  <c r="BJ8" i="1"/>
  <c r="BI8" i="1"/>
  <c r="BH8" i="1"/>
  <c r="BC8" i="1"/>
  <c r="BB8" i="1"/>
  <c r="BA8" i="1"/>
  <c r="AV8" i="1"/>
  <c r="AU8" i="1"/>
  <c r="AT8" i="1"/>
  <c r="AO8" i="1"/>
  <c r="AN8" i="1"/>
  <c r="AM8" i="1"/>
  <c r="D8" i="1"/>
  <c r="AZ8" i="1" s="1"/>
  <c r="CC3" i="1" l="1"/>
  <c r="R3" i="1"/>
  <c r="BW3" i="1"/>
  <c r="Z3" i="1"/>
  <c r="AO3" i="1"/>
  <c r="BA3" i="1"/>
  <c r="S3" i="1"/>
  <c r="T3" i="1"/>
  <c r="CD3" i="1"/>
  <c r="I3" i="1"/>
  <c r="AG3" i="1"/>
  <c r="AH3" i="1"/>
  <c r="AN3" i="1"/>
  <c r="AT3" i="1"/>
  <c r="AU3" i="1"/>
  <c r="BB3" i="1"/>
  <c r="BP3" i="1"/>
  <c r="AA3" i="1"/>
  <c r="CK3" i="1"/>
  <c r="CL3" i="1"/>
  <c r="BX3" i="1"/>
  <c r="H3" i="1"/>
  <c r="CE3" i="1"/>
  <c r="AF3" i="1"/>
  <c r="CJ3" i="1"/>
  <c r="AM3" i="1"/>
  <c r="CS3" i="1"/>
  <c r="AV3" i="1"/>
  <c r="BC3" i="1"/>
  <c r="BH3" i="1"/>
  <c r="BI3" i="1"/>
  <c r="BJ3" i="1"/>
  <c r="BO3" i="1"/>
  <c r="BQ3" i="1"/>
  <c r="BV3" i="1"/>
  <c r="Y3" i="1"/>
  <c r="J42" i="1"/>
  <c r="U42" i="1"/>
  <c r="N42" i="1" s="1"/>
  <c r="AP23" i="1"/>
  <c r="BD23" i="1"/>
  <c r="CT44" i="1"/>
  <c r="BY23" i="1"/>
  <c r="CM22" i="1"/>
  <c r="U22" i="1"/>
  <c r="BK22" i="1"/>
  <c r="BU44" i="1"/>
  <c r="BY44" i="1" s="1"/>
  <c r="X44" i="1"/>
  <c r="AB44" i="1" s="1"/>
  <c r="AS13" i="1"/>
  <c r="AW13" i="1" s="1"/>
  <c r="AS41" i="1"/>
  <c r="AW41" i="1" s="1"/>
  <c r="M44" i="1"/>
  <c r="AS43" i="1"/>
  <c r="AW43" i="1" s="1"/>
  <c r="CB44" i="1"/>
  <c r="CF44" i="1" s="1"/>
  <c r="AZ44" i="1"/>
  <c r="BD44" i="1" s="1"/>
  <c r="Q43" i="1"/>
  <c r="U43" i="1" s="1"/>
  <c r="Q44" i="1"/>
  <c r="U44" i="1" s="1"/>
  <c r="K44" i="1"/>
  <c r="L44" i="1"/>
  <c r="AS44" i="1"/>
  <c r="AW44" i="1" s="1"/>
  <c r="AI23" i="1"/>
  <c r="CT43" i="1"/>
  <c r="AE44" i="1"/>
  <c r="AI44" i="1" s="1"/>
  <c r="BG44" i="1"/>
  <c r="BK44" i="1" s="1"/>
  <c r="CI44" i="1"/>
  <c r="CM44" i="1" s="1"/>
  <c r="Q41" i="1"/>
  <c r="U41" i="1" s="1"/>
  <c r="K43" i="1"/>
  <c r="L43" i="1"/>
  <c r="AL44" i="1"/>
  <c r="AP44" i="1" s="1"/>
  <c r="BN44" i="1"/>
  <c r="BR44" i="1" s="1"/>
  <c r="M43" i="1"/>
  <c r="AI22" i="1"/>
  <c r="BU43" i="1"/>
  <c r="BY43" i="1" s="1"/>
  <c r="X43" i="1"/>
  <c r="AB43" i="1" s="1"/>
  <c r="AZ43" i="1"/>
  <c r="BD43" i="1" s="1"/>
  <c r="CB43" i="1"/>
  <c r="CF43" i="1" s="1"/>
  <c r="AP22" i="1"/>
  <c r="CT23" i="1"/>
  <c r="BR23" i="1"/>
  <c r="BR41" i="1"/>
  <c r="AE43" i="1"/>
  <c r="AI43" i="1" s="1"/>
  <c r="BG43" i="1"/>
  <c r="BK43" i="1" s="1"/>
  <c r="CI43" i="1"/>
  <c r="CM43" i="1" s="1"/>
  <c r="K41" i="1"/>
  <c r="L41" i="1"/>
  <c r="AL43" i="1"/>
  <c r="AP43" i="1" s="1"/>
  <c r="BN43" i="1"/>
  <c r="BR43" i="1" s="1"/>
  <c r="M41" i="1"/>
  <c r="CF23" i="1"/>
  <c r="BU41" i="1"/>
  <c r="BY41" i="1" s="1"/>
  <c r="K23" i="1"/>
  <c r="BY22" i="1"/>
  <c r="L23" i="1"/>
  <c r="M23" i="1"/>
  <c r="CM23" i="1"/>
  <c r="X41" i="1"/>
  <c r="AB41" i="1" s="1"/>
  <c r="AZ41" i="1"/>
  <c r="BD41" i="1" s="1"/>
  <c r="CB41" i="1"/>
  <c r="CF41" i="1" s="1"/>
  <c r="AB23" i="1"/>
  <c r="J23" i="1"/>
  <c r="BR22" i="1"/>
  <c r="AW22" i="1"/>
  <c r="BK23" i="1"/>
  <c r="CF22" i="1"/>
  <c r="AE41" i="1"/>
  <c r="AI41" i="1" s="1"/>
  <c r="BG41" i="1"/>
  <c r="BK41" i="1" s="1"/>
  <c r="CI41" i="1"/>
  <c r="CM41" i="1" s="1"/>
  <c r="BD22" i="1"/>
  <c r="CP41" i="1"/>
  <c r="CT41" i="1" s="1"/>
  <c r="K22" i="1"/>
  <c r="AL41" i="1"/>
  <c r="AP41" i="1" s="1"/>
  <c r="AB22" i="1"/>
  <c r="M22" i="1"/>
  <c r="CT22" i="1"/>
  <c r="AW23" i="1"/>
  <c r="U23" i="1"/>
  <c r="Q13" i="1"/>
  <c r="U13" i="1" s="1"/>
  <c r="J22" i="1"/>
  <c r="CT13" i="1"/>
  <c r="L22" i="1"/>
  <c r="CB14" i="1"/>
  <c r="CF14" i="1" s="1"/>
  <c r="CB17" i="1"/>
  <c r="CF17" i="1" s="1"/>
  <c r="CI11" i="1"/>
  <c r="CM11" i="1" s="1"/>
  <c r="BU13" i="1"/>
  <c r="BY13" i="1" s="1"/>
  <c r="K13" i="1"/>
  <c r="L13" i="1"/>
  <c r="M13" i="1"/>
  <c r="AS14" i="1"/>
  <c r="AW14" i="1" s="1"/>
  <c r="K10" i="1"/>
  <c r="L10" i="1"/>
  <c r="AZ14" i="1"/>
  <c r="BD14" i="1" s="1"/>
  <c r="Q14" i="1"/>
  <c r="U14" i="1" s="1"/>
  <c r="CB13" i="1"/>
  <c r="CF13" i="1" s="1"/>
  <c r="X18" i="1"/>
  <c r="AB18" i="1" s="1"/>
  <c r="BG10" i="1"/>
  <c r="BK10" i="1" s="1"/>
  <c r="CT14" i="1"/>
  <c r="CI10" i="1"/>
  <c r="CM10" i="1" s="1"/>
  <c r="X13" i="1"/>
  <c r="AB13" i="1" s="1"/>
  <c r="BU18" i="1"/>
  <c r="BY18" i="1" s="1"/>
  <c r="AZ10" i="1"/>
  <c r="BD10" i="1" s="1"/>
  <c r="Q10" i="1"/>
  <c r="U10" i="1" s="1"/>
  <c r="AZ13" i="1"/>
  <c r="BD13" i="1" s="1"/>
  <c r="X10" i="1"/>
  <c r="AB10" i="1" s="1"/>
  <c r="AE13" i="1"/>
  <c r="AI13" i="1" s="1"/>
  <c r="BG13" i="1"/>
  <c r="BK13" i="1" s="1"/>
  <c r="CI13" i="1"/>
  <c r="CM13" i="1" s="1"/>
  <c r="AS15" i="1"/>
  <c r="AW15" i="1" s="1"/>
  <c r="AS17" i="1"/>
  <c r="AW17" i="1" s="1"/>
  <c r="BU10" i="1"/>
  <c r="BY10" i="1" s="1"/>
  <c r="X14" i="1"/>
  <c r="AB14" i="1" s="1"/>
  <c r="L14" i="1"/>
  <c r="AL13" i="1"/>
  <c r="AP13" i="1" s="1"/>
  <c r="BN13" i="1"/>
  <c r="BR13" i="1" s="1"/>
  <c r="M14" i="1"/>
  <c r="K14" i="1"/>
  <c r="AE10" i="1"/>
  <c r="AI10" i="1" s="1"/>
  <c r="BU14" i="1"/>
  <c r="BY14" i="1" s="1"/>
  <c r="AS12" i="1"/>
  <c r="AW12" i="1" s="1"/>
  <c r="BG11" i="1"/>
  <c r="BK11" i="1" s="1"/>
  <c r="CT12" i="1"/>
  <c r="AE14" i="1"/>
  <c r="AI14" i="1" s="1"/>
  <c r="BG14" i="1"/>
  <c r="BK14" i="1" s="1"/>
  <c r="CI14" i="1"/>
  <c r="CM14" i="1" s="1"/>
  <c r="Q12" i="1"/>
  <c r="U12" i="1" s="1"/>
  <c r="AL10" i="1"/>
  <c r="AP10" i="1" s="1"/>
  <c r="K12" i="1"/>
  <c r="L12" i="1"/>
  <c r="AL14" i="1"/>
  <c r="AP14" i="1" s="1"/>
  <c r="BN14" i="1"/>
  <c r="BR14" i="1" s="1"/>
  <c r="M11" i="1"/>
  <c r="M12" i="1"/>
  <c r="CT10" i="1"/>
  <c r="M10" i="1"/>
  <c r="CB10" i="1"/>
  <c r="CF10" i="1" s="1"/>
  <c r="AE11" i="1"/>
  <c r="AI11" i="1" s="1"/>
  <c r="AS10" i="1"/>
  <c r="AW10" i="1" s="1"/>
  <c r="K11" i="1"/>
  <c r="L11" i="1"/>
  <c r="BU12" i="1"/>
  <c r="BY12" i="1" s="1"/>
  <c r="U11" i="1"/>
  <c r="X12" i="1"/>
  <c r="AB12" i="1" s="1"/>
  <c r="AZ12" i="1"/>
  <c r="BD12" i="1" s="1"/>
  <c r="CB12" i="1"/>
  <c r="CF12" i="1" s="1"/>
  <c r="AL11" i="1"/>
  <c r="AP11" i="1" s="1"/>
  <c r="BN11" i="1"/>
  <c r="BR11" i="1" s="1"/>
  <c r="CP11" i="1"/>
  <c r="CT11" i="1" s="1"/>
  <c r="AE12" i="1"/>
  <c r="AI12" i="1" s="1"/>
  <c r="BG12" i="1"/>
  <c r="BK12" i="1" s="1"/>
  <c r="CI12" i="1"/>
  <c r="CM12" i="1" s="1"/>
  <c r="AS11" i="1"/>
  <c r="AW11" i="1" s="1"/>
  <c r="CT18" i="1"/>
  <c r="AL12" i="1"/>
  <c r="AP12" i="1" s="1"/>
  <c r="BN12" i="1"/>
  <c r="BR12" i="1" s="1"/>
  <c r="BU11" i="1"/>
  <c r="BY11" i="1" s="1"/>
  <c r="X11" i="1"/>
  <c r="AB11" i="1" s="1"/>
  <c r="AZ11" i="1"/>
  <c r="BD11" i="1" s="1"/>
  <c r="CB11" i="1"/>
  <c r="CF11" i="1" s="1"/>
  <c r="BN10" i="1"/>
  <c r="BR10" i="1" s="1"/>
  <c r="CB18" i="1"/>
  <c r="CF18" i="1" s="1"/>
  <c r="U24" i="1"/>
  <c r="U29" i="1"/>
  <c r="CM21" i="1"/>
  <c r="CF27" i="1"/>
  <c r="L18" i="1"/>
  <c r="AS18" i="1"/>
  <c r="AW18" i="1" s="1"/>
  <c r="AZ18" i="1"/>
  <c r="BD18" i="1" s="1"/>
  <c r="M18" i="1"/>
  <c r="CT17" i="1"/>
  <c r="U20" i="1"/>
  <c r="U27" i="1"/>
  <c r="Q18" i="1"/>
  <c r="U18" i="1" s="1"/>
  <c r="K18" i="1"/>
  <c r="L26" i="1"/>
  <c r="L16" i="1"/>
  <c r="Q36" i="1"/>
  <c r="U36" i="1" s="1"/>
  <c r="M35" i="1"/>
  <c r="K21" i="1"/>
  <c r="K26" i="1"/>
  <c r="K19" i="1"/>
  <c r="X36" i="1"/>
  <c r="AB36" i="1" s="1"/>
  <c r="AZ17" i="1"/>
  <c r="BD17" i="1" s="1"/>
  <c r="Q17" i="1"/>
  <c r="U17" i="1" s="1"/>
  <c r="AE18" i="1"/>
  <c r="AI18" i="1" s="1"/>
  <c r="BG18" i="1"/>
  <c r="BK18" i="1" s="1"/>
  <c r="CI18" i="1"/>
  <c r="CM18" i="1" s="1"/>
  <c r="L17" i="1"/>
  <c r="M17" i="1"/>
  <c r="L38" i="1"/>
  <c r="X17" i="1"/>
  <c r="AB17" i="1" s="1"/>
  <c r="M38" i="1"/>
  <c r="AL18" i="1"/>
  <c r="AP18" i="1" s="1"/>
  <c r="BN18" i="1"/>
  <c r="BR18" i="1" s="1"/>
  <c r="CB15" i="1"/>
  <c r="CF15" i="1" s="1"/>
  <c r="CT15" i="1"/>
  <c r="K17" i="1"/>
  <c r="U25" i="1"/>
  <c r="U30" i="1"/>
  <c r="BU17" i="1"/>
  <c r="BY17" i="1" s="1"/>
  <c r="L9" i="1"/>
  <c r="BK20" i="1"/>
  <c r="L20" i="1"/>
  <c r="M16" i="1"/>
  <c r="M36" i="1"/>
  <c r="M37" i="1"/>
  <c r="M28" i="1"/>
  <c r="K38" i="1"/>
  <c r="AZ15" i="1"/>
  <c r="BD15" i="1" s="1"/>
  <c r="K24" i="1"/>
  <c r="K29" i="1"/>
  <c r="L24" i="1"/>
  <c r="L29" i="1"/>
  <c r="K39" i="1"/>
  <c r="Q15" i="1"/>
  <c r="U15" i="1" s="1"/>
  <c r="AE17" i="1"/>
  <c r="AI17" i="1" s="1"/>
  <c r="BG17" i="1"/>
  <c r="BK17" i="1" s="1"/>
  <c r="CI17" i="1"/>
  <c r="CM17" i="1" s="1"/>
  <c r="K15" i="1"/>
  <c r="AW29" i="1"/>
  <c r="AB25" i="1"/>
  <c r="AB30" i="1"/>
  <c r="M39" i="1"/>
  <c r="K25" i="1"/>
  <c r="K40" i="1"/>
  <c r="M15" i="1"/>
  <c r="K30" i="1"/>
  <c r="L25" i="1"/>
  <c r="L40" i="1"/>
  <c r="X15" i="1"/>
  <c r="AB15" i="1" s="1"/>
  <c r="K16" i="1"/>
  <c r="K36" i="1"/>
  <c r="M20" i="1"/>
  <c r="M21" i="1"/>
  <c r="L30" i="1"/>
  <c r="Q9" i="1"/>
  <c r="U9" i="1" s="1"/>
  <c r="M25" i="1"/>
  <c r="M30" i="1"/>
  <c r="AL17" i="1"/>
  <c r="AP17" i="1" s="1"/>
  <c r="BN17" i="1"/>
  <c r="BR17" i="1" s="1"/>
  <c r="L48" i="1"/>
  <c r="M48" i="1"/>
  <c r="J28" i="1"/>
  <c r="M27" i="1"/>
  <c r="K28" i="1"/>
  <c r="X9" i="1"/>
  <c r="AB9" i="1" s="1"/>
  <c r="M40" i="1"/>
  <c r="K9" i="1"/>
  <c r="K48" i="1"/>
  <c r="K37" i="1"/>
  <c r="L28" i="1"/>
  <c r="L37" i="1"/>
  <c r="M8" i="1"/>
  <c r="M24" i="1"/>
  <c r="K35" i="1"/>
  <c r="L36" i="1"/>
  <c r="L39" i="1"/>
  <c r="M9" i="1"/>
  <c r="M26" i="1"/>
  <c r="L19" i="1"/>
  <c r="L35" i="1"/>
  <c r="BU15" i="1"/>
  <c r="BY15" i="1" s="1"/>
  <c r="L21" i="1"/>
  <c r="K20" i="1"/>
  <c r="M29" i="1"/>
  <c r="L15" i="1"/>
  <c r="J21" i="1"/>
  <c r="BK25" i="1"/>
  <c r="J26" i="1"/>
  <c r="M19" i="1"/>
  <c r="K8" i="1"/>
  <c r="L8" i="1"/>
  <c r="Q40" i="1"/>
  <c r="AI20" i="1"/>
  <c r="AI27" i="1"/>
  <c r="J24" i="1"/>
  <c r="BY25" i="1"/>
  <c r="X48" i="1"/>
  <c r="AB48" i="1" s="1"/>
  <c r="U26" i="1"/>
  <c r="U35" i="1"/>
  <c r="J27" i="1"/>
  <c r="AB20" i="1"/>
  <c r="AB27" i="1"/>
  <c r="J30" i="1"/>
  <c r="AE15" i="1"/>
  <c r="AI15" i="1" s="1"/>
  <c r="BG15" i="1"/>
  <c r="BK15" i="1" s="1"/>
  <c r="CI15" i="1"/>
  <c r="CM15" i="1" s="1"/>
  <c r="CP48" i="1"/>
  <c r="CT48" i="1" s="1"/>
  <c r="AE38" i="1"/>
  <c r="AI38" i="1" s="1"/>
  <c r="AB21" i="1"/>
  <c r="AB28" i="1"/>
  <c r="J20" i="1"/>
  <c r="AZ48" i="1"/>
  <c r="BD48" i="1" s="1"/>
  <c r="J25" i="1"/>
  <c r="AL15" i="1"/>
  <c r="AP15" i="1" s="1"/>
  <c r="BN15" i="1"/>
  <c r="BR15" i="1" s="1"/>
  <c r="BR49" i="1"/>
  <c r="AI24" i="1"/>
  <c r="X8" i="1"/>
  <c r="J29" i="1"/>
  <c r="AP21" i="1"/>
  <c r="U21" i="1"/>
  <c r="U28" i="1"/>
  <c r="Q37" i="1"/>
  <c r="J35" i="1"/>
  <c r="BK30" i="1"/>
  <c r="CF36" i="1"/>
  <c r="Q8" i="1"/>
  <c r="AW26" i="1"/>
  <c r="CF26" i="1"/>
  <c r="AI25" i="1"/>
  <c r="X38" i="1"/>
  <c r="AB38" i="1" s="1"/>
  <c r="Q38" i="1"/>
  <c r="Q48" i="1"/>
  <c r="BR20" i="1"/>
  <c r="BD27" i="1"/>
  <c r="BK28" i="1"/>
  <c r="BR30" i="1"/>
  <c r="AI26" i="1"/>
  <c r="AB24" i="1"/>
  <c r="AB29" i="1"/>
  <c r="CI8" i="1"/>
  <c r="CB48" i="1"/>
  <c r="CF48" i="1" s="1"/>
  <c r="Q16" i="1"/>
  <c r="Q39" i="1"/>
  <c r="X16" i="1"/>
  <c r="AB16" i="1" s="1"/>
  <c r="X40" i="1"/>
  <c r="AB40" i="1" s="1"/>
  <c r="Q19" i="1"/>
  <c r="CF20" i="1"/>
  <c r="AP28" i="1"/>
  <c r="BY28" i="1"/>
  <c r="AW30" i="1"/>
  <c r="AI39" i="1"/>
  <c r="X19" i="1"/>
  <c r="AB19" i="1" s="1"/>
  <c r="AB26" i="1"/>
  <c r="AB35" i="1"/>
  <c r="BK26" i="1"/>
  <c r="AI37" i="1"/>
  <c r="AL8" i="1"/>
  <c r="X37" i="1"/>
  <c r="AB37" i="1" s="1"/>
  <c r="CB8" i="1"/>
  <c r="BN36" i="1"/>
  <c r="BR36" i="1" s="1"/>
  <c r="AI21" i="1"/>
  <c r="AI28" i="1"/>
  <c r="X39" i="1"/>
  <c r="AB39" i="1" s="1"/>
  <c r="BG8" i="1"/>
  <c r="AI29" i="1"/>
  <c r="AW24" i="1"/>
  <c r="BD26" i="1"/>
  <c r="BU48" i="1"/>
  <c r="BY48" i="1" s="1"/>
  <c r="AI30" i="1"/>
  <c r="BN39" i="1"/>
  <c r="BR39" i="1" s="1"/>
  <c r="BK27" i="1"/>
  <c r="AE8" i="1"/>
  <c r="BD40" i="1"/>
  <c r="BG40" i="1"/>
  <c r="BK40" i="1" s="1"/>
  <c r="CF49" i="1"/>
  <c r="AP27" i="1"/>
  <c r="CI16" i="1"/>
  <c r="CM16" i="1" s="1"/>
  <c r="BG36" i="1"/>
  <c r="BK36" i="1" s="1"/>
  <c r="CP36" i="1"/>
  <c r="CT36" i="1" s="1"/>
  <c r="AS48" i="1"/>
  <c r="AW48" i="1" s="1"/>
  <c r="AE19" i="1"/>
  <c r="AI19" i="1" s="1"/>
  <c r="AE36" i="1"/>
  <c r="AW28" i="1"/>
  <c r="CF29" i="1"/>
  <c r="BG39" i="1"/>
  <c r="BK39" i="1" s="1"/>
  <c r="CP39" i="1"/>
  <c r="CT39" i="1" s="1"/>
  <c r="BK21" i="1"/>
  <c r="CT21" i="1"/>
  <c r="BK35" i="1"/>
  <c r="CT35" i="1"/>
  <c r="AZ39" i="1"/>
  <c r="BD39" i="1" s="1"/>
  <c r="CI39" i="1"/>
  <c r="CM39" i="1" s="1"/>
  <c r="AE40" i="1"/>
  <c r="CB16" i="1"/>
  <c r="CF16" i="1" s="1"/>
  <c r="AZ36" i="1"/>
  <c r="BD36" i="1" s="1"/>
  <c r="CI36" i="1"/>
  <c r="CM36" i="1" s="1"/>
  <c r="BY26" i="1"/>
  <c r="AE9" i="1"/>
  <c r="AI9" i="1" s="1"/>
  <c r="AL39" i="1"/>
  <c r="AP39" i="1" s="1"/>
  <c r="BU39" i="1"/>
  <c r="BY39" i="1" s="1"/>
  <c r="CB40" i="1"/>
  <c r="CF40" i="1" s="1"/>
  <c r="CT29" i="1"/>
  <c r="AL36" i="1"/>
  <c r="BU36" i="1"/>
  <c r="BY36" i="1" s="1"/>
  <c r="CT28" i="1"/>
  <c r="AS40" i="1"/>
  <c r="AW40" i="1" s="1"/>
  <c r="BG19" i="1"/>
  <c r="BK19" i="1" s="1"/>
  <c r="AE16" i="1"/>
  <c r="AI16" i="1" s="1"/>
  <c r="BR28" i="1"/>
  <c r="BY30" i="1"/>
  <c r="AS39" i="1"/>
  <c r="AW39" i="1" s="1"/>
  <c r="CB39" i="1"/>
  <c r="CF39" i="1" s="1"/>
  <c r="CI40" i="1"/>
  <c r="CM40" i="1" s="1"/>
  <c r="BN48" i="1"/>
  <c r="BR48" i="1" s="1"/>
  <c r="CM25" i="1"/>
  <c r="AS36" i="1"/>
  <c r="AW36" i="1" s="1"/>
  <c r="BY49" i="1"/>
  <c r="CF21" i="1"/>
  <c r="CF24" i="1"/>
  <c r="BY29" i="1"/>
  <c r="BD24" i="1"/>
  <c r="CM24" i="1"/>
  <c r="CT24" i="1"/>
  <c r="CT25" i="1"/>
  <c r="CT30" i="1"/>
  <c r="CM48" i="1"/>
  <c r="CM35" i="1"/>
  <c r="CM26" i="1"/>
  <c r="CM30" i="1"/>
  <c r="CM29" i="1"/>
  <c r="CM49" i="1"/>
  <c r="CG1" i="1"/>
  <c r="CM28" i="1"/>
  <c r="CM27" i="1"/>
  <c r="CF30" i="1"/>
  <c r="CF28" i="1"/>
  <c r="BY35" i="1"/>
  <c r="BY27" i="1"/>
  <c r="BY20" i="1"/>
  <c r="BR27" i="1"/>
  <c r="BR29" i="1"/>
  <c r="BR26" i="1"/>
  <c r="BR24" i="1"/>
  <c r="BR38" i="1"/>
  <c r="BR25" i="1"/>
  <c r="BR21" i="1"/>
  <c r="L49" i="1"/>
  <c r="BR35" i="1"/>
  <c r="BK29" i="1"/>
  <c r="BD9" i="1"/>
  <c r="BD16" i="1"/>
  <c r="BD8" i="1"/>
  <c r="BD20" i="1"/>
  <c r="BD29" i="1"/>
  <c r="AW27" i="1"/>
  <c r="AW20" i="1"/>
  <c r="K49" i="1"/>
  <c r="AP35" i="1"/>
  <c r="AP29" i="1"/>
  <c r="BY21" i="1"/>
  <c r="BD35" i="1"/>
  <c r="BD28" i="1"/>
  <c r="AP19" i="1"/>
  <c r="CP37" i="1"/>
  <c r="CT37" i="1" s="1"/>
  <c r="BN37" i="1"/>
  <c r="BR37" i="1" s="1"/>
  <c r="AL37" i="1"/>
  <c r="BG37" i="1"/>
  <c r="BK37" i="1" s="1"/>
  <c r="CI37" i="1"/>
  <c r="CM37" i="1" s="1"/>
  <c r="CB37" i="1"/>
  <c r="CF37" i="1" s="1"/>
  <c r="AZ37" i="1"/>
  <c r="BD37" i="1" s="1"/>
  <c r="BU37" i="1"/>
  <c r="BY37" i="1" s="1"/>
  <c r="AS37" i="1"/>
  <c r="AW37" i="1" s="1"/>
  <c r="CR27" i="1"/>
  <c r="CR3" i="1" s="1"/>
  <c r="CQ27" i="1"/>
  <c r="K27" i="1" s="1"/>
  <c r="BK24" i="1"/>
  <c r="AW21" i="1"/>
  <c r="BN19" i="1"/>
  <c r="BR19" i="1" s="1"/>
  <c r="CM20" i="1"/>
  <c r="BK49" i="1"/>
  <c r="CT20" i="1"/>
  <c r="AP24" i="1"/>
  <c r="BY24" i="1"/>
  <c r="BU38" i="1"/>
  <c r="BY38" i="1" s="1"/>
  <c r="AS38" i="1"/>
  <c r="AW38" i="1" s="1"/>
  <c r="CI38" i="1"/>
  <c r="CM38" i="1" s="1"/>
  <c r="BG38" i="1"/>
  <c r="BK38" i="1" s="1"/>
  <c r="AL38" i="1"/>
  <c r="BG9" i="1"/>
  <c r="BK9" i="1" s="1"/>
  <c r="CP9" i="1"/>
  <c r="CT9" i="1" s="1"/>
  <c r="BN9" i="1"/>
  <c r="BR9" i="1" s="1"/>
  <c r="AL9" i="1"/>
  <c r="CI9" i="1"/>
  <c r="CM9" i="1" s="1"/>
  <c r="BD21" i="1"/>
  <c r="BU16" i="1"/>
  <c r="BY16" i="1" s="1"/>
  <c r="AS16" i="1"/>
  <c r="AW16" i="1" s="1"/>
  <c r="BG16" i="1"/>
  <c r="BK16" i="1" s="1"/>
  <c r="AP20" i="1"/>
  <c r="BU8" i="1"/>
  <c r="AS8" i="1"/>
  <c r="CP16" i="1"/>
  <c r="CT16" i="1" s="1"/>
  <c r="CB19" i="1"/>
  <c r="CF19" i="1" s="1"/>
  <c r="AP25" i="1"/>
  <c r="BD30" i="1"/>
  <c r="CB38" i="1"/>
  <c r="CF38" i="1" s="1"/>
  <c r="CP38" i="1"/>
  <c r="CT38" i="1" s="1"/>
  <c r="BU9" i="1"/>
  <c r="BY9" i="1" s="1"/>
  <c r="CT26" i="1"/>
  <c r="CP40" i="1"/>
  <c r="CT40" i="1" s="1"/>
  <c r="BN40" i="1"/>
  <c r="BR40" i="1" s="1"/>
  <c r="AL40" i="1"/>
  <c r="J49" i="1"/>
  <c r="CP8" i="1"/>
  <c r="AS9" i="1"/>
  <c r="AW9" i="1" s="1"/>
  <c r="CF25" i="1"/>
  <c r="BU19" i="1"/>
  <c r="BY19" i="1" s="1"/>
  <c r="AS19" i="1"/>
  <c r="AW19" i="1" s="1"/>
  <c r="CP19" i="1"/>
  <c r="CT19" i="1" s="1"/>
  <c r="BN16" i="1"/>
  <c r="BR16" i="1" s="1"/>
  <c r="AZ19" i="1"/>
  <c r="BD19" i="1" s="1"/>
  <c r="AP26" i="1"/>
  <c r="AZ38" i="1"/>
  <c r="BD38" i="1" s="1"/>
  <c r="CI19" i="1"/>
  <c r="CM19" i="1" s="1"/>
  <c r="AW25" i="1"/>
  <c r="CF35" i="1"/>
  <c r="BN8" i="1"/>
  <c r="CB9" i="1"/>
  <c r="CF9" i="1" s="1"/>
  <c r="AL16" i="1"/>
  <c r="BD25" i="1"/>
  <c r="BU40" i="1"/>
  <c r="BY40" i="1" s="1"/>
  <c r="M49" i="1"/>
  <c r="BG48" i="1"/>
  <c r="BK48" i="1" s="1"/>
  <c r="CF8" i="1" l="1"/>
  <c r="CF3" i="1" s="1"/>
  <c r="CB3" i="1"/>
  <c r="K3" i="1"/>
  <c r="BN3" i="1"/>
  <c r="BD3" i="1"/>
  <c r="S65" i="1" s="1"/>
  <c r="S67" i="1" s="1"/>
  <c r="AP8" i="1"/>
  <c r="AL3" i="1"/>
  <c r="AS3" i="1"/>
  <c r="BU3" i="1"/>
  <c r="BK8" i="1"/>
  <c r="BK3" i="1" s="1"/>
  <c r="T65" i="1" s="1"/>
  <c r="T67" i="1" s="1"/>
  <c r="BG3" i="1"/>
  <c r="CM8" i="1"/>
  <c r="CM3" i="1" s="1"/>
  <c r="X65" i="1" s="1"/>
  <c r="X67" i="1" s="1"/>
  <c r="CI3" i="1"/>
  <c r="AI8" i="1"/>
  <c r="AE3" i="1"/>
  <c r="Q3" i="1"/>
  <c r="CQ3" i="1"/>
  <c r="M3" i="1"/>
  <c r="L3" i="1"/>
  <c r="CP3" i="1"/>
  <c r="AZ3" i="1"/>
  <c r="X3" i="1"/>
  <c r="AB8" i="1"/>
  <c r="AB3" i="1" s="1"/>
  <c r="O65" i="1" s="1"/>
  <c r="O67" i="1" s="1"/>
  <c r="AI40" i="1"/>
  <c r="W65" i="1"/>
  <c r="W67" i="1" s="1"/>
  <c r="N44" i="1"/>
  <c r="J44" i="1"/>
  <c r="N22" i="1"/>
  <c r="N43" i="1"/>
  <c r="J43" i="1"/>
  <c r="N23" i="1"/>
  <c r="N41" i="1"/>
  <c r="J41" i="1"/>
  <c r="N13" i="1"/>
  <c r="J13" i="1"/>
  <c r="N10" i="1"/>
  <c r="N14" i="1"/>
  <c r="J14" i="1"/>
  <c r="N12" i="1"/>
  <c r="J11" i="1"/>
  <c r="N11" i="1"/>
  <c r="J10" i="1"/>
  <c r="J12" i="1"/>
  <c r="N17" i="1"/>
  <c r="N29" i="1"/>
  <c r="N18" i="1"/>
  <c r="J18" i="1"/>
  <c r="N25" i="1"/>
  <c r="N24" i="1"/>
  <c r="J9" i="1"/>
  <c r="N15" i="1"/>
  <c r="J17" i="1"/>
  <c r="N30" i="1"/>
  <c r="N20" i="1"/>
  <c r="J15" i="1"/>
  <c r="N26" i="1"/>
  <c r="U8" i="1"/>
  <c r="J8" i="1"/>
  <c r="U19" i="1"/>
  <c r="N19" i="1" s="1"/>
  <c r="J19" i="1"/>
  <c r="N49" i="1"/>
  <c r="U37" i="1"/>
  <c r="J37" i="1"/>
  <c r="N28" i="1"/>
  <c r="U40" i="1"/>
  <c r="J40" i="1"/>
  <c r="N21" i="1"/>
  <c r="U48" i="1"/>
  <c r="N48" i="1" s="1"/>
  <c r="J48" i="1"/>
  <c r="U39" i="1"/>
  <c r="N39" i="1" s="1"/>
  <c r="J39" i="1"/>
  <c r="U16" i="1"/>
  <c r="J16" i="1"/>
  <c r="L27" i="1"/>
  <c r="U38" i="1"/>
  <c r="J38" i="1"/>
  <c r="AI36" i="1"/>
  <c r="J36" i="1"/>
  <c r="N35" i="1"/>
  <c r="AP36" i="1"/>
  <c r="CT27" i="1"/>
  <c r="N27" i="1" s="1"/>
  <c r="CT8" i="1"/>
  <c r="AP37" i="1"/>
  <c r="BR8" i="1"/>
  <c r="AP40" i="1"/>
  <c r="AP9" i="1"/>
  <c r="N9" i="1" s="1"/>
  <c r="AP38" i="1"/>
  <c r="AP16" i="1"/>
  <c r="AW8" i="1"/>
  <c r="AW3" i="1" s="1"/>
  <c r="BY8" i="1"/>
  <c r="AI3" i="1" l="1"/>
  <c r="BY3" i="1"/>
  <c r="V65" i="1" s="1"/>
  <c r="V67" i="1" s="1"/>
  <c r="AP3" i="1"/>
  <c r="U3" i="1"/>
  <c r="CT3" i="1"/>
  <c r="Y65" i="1" s="1"/>
  <c r="Y67" i="1" s="1"/>
  <c r="BR3" i="1"/>
  <c r="U65" i="1" s="1"/>
  <c r="U67" i="1" s="1"/>
  <c r="J3" i="1"/>
  <c r="R65" i="1"/>
  <c r="R67" i="1" s="1"/>
  <c r="P65" i="1"/>
  <c r="P67" i="1" s="1"/>
  <c r="N65" i="1"/>
  <c r="N36" i="1"/>
  <c r="BS1" i="1"/>
  <c r="N38" i="1"/>
  <c r="N37" i="1"/>
  <c r="N16" i="1"/>
  <c r="N8" i="1"/>
  <c r="N3" i="1" s="1"/>
  <c r="N40" i="1"/>
  <c r="CG2" i="1"/>
  <c r="BK1" i="1"/>
  <c r="Q65" i="1" l="1"/>
  <c r="Q67" i="1" s="1"/>
  <c r="X1" i="1"/>
  <c r="Q1" i="1"/>
  <c r="AE1" i="1"/>
  <c r="AL1" i="1"/>
  <c r="N67" i="1" l="1"/>
  <c r="Y60" i="1"/>
  <c r="Y62" i="1" s="1"/>
</calcChain>
</file>

<file path=xl/sharedStrings.xml><?xml version="1.0" encoding="utf-8"?>
<sst xmlns="http://schemas.openxmlformats.org/spreadsheetml/2006/main" count="333" uniqueCount="159">
  <si>
    <t>■ 제조사 직납 비용절감 list</t>
  </si>
  <si>
    <t>제조사</t>
  </si>
  <si>
    <t>품목</t>
  </si>
  <si>
    <t>단가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</si>
  <si>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</si>
  <si>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</si>
  <si>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</si>
  <si>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</si>
  <si>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</si>
  <si>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</si>
  <si>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</si>
  <si>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</si>
  <si>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</si>
  <si>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보관비</t>
  </si>
  <si>
    <t>운송비</t>
  </si>
  <si>
    <t>작업비</t>
  </si>
  <si>
    <t>출고량</t>
  </si>
  <si>
    <t>절감액</t>
  </si>
  <si>
    <t>TTL</t>
  </si>
  <si>
    <t>700원*4일</t>
  </si>
  <si>
    <t>원가반영</t>
  </si>
  <si>
    <t>EA</t>
  </si>
  <si>
    <t>PLT</t>
  </si>
  <si>
    <t>튤립</t>
  </si>
  <si>
    <t>오리지널 500ml, 24개입</t>
  </si>
  <si>
    <t>오리지널 500ml, 6개입</t>
  </si>
  <si>
    <t>타트체리 500ml, 24개입</t>
  </si>
  <si>
    <t>타트체리 500ml, 6개입</t>
  </si>
  <si>
    <t>레몬비니거 500ml, 24개입</t>
  </si>
  <si>
    <t>레몬비니거 500ml, 6개입</t>
  </si>
  <si>
    <t>화이트발사믹 500ml, 24개입</t>
  </si>
  <si>
    <t>신비복숭아 500ml, 24개입</t>
  </si>
  <si>
    <t>신비복숭아 500ml, 6개입</t>
  </si>
  <si>
    <t>OKF</t>
  </si>
  <si>
    <t>오리지널 제로 250ml, 24개입</t>
  </si>
  <si>
    <t>타트체리 제로 250ml, 24개입</t>
  </si>
  <si>
    <t>제로소다 포도 250ml, 24개입</t>
  </si>
  <si>
    <t>제로소다 복숭아 250ml, 24개입</t>
  </si>
  <si>
    <t>제로소다 청사과 250ml, 24개입</t>
  </si>
  <si>
    <t>제로소다 레몬 250ml, 24개입</t>
  </si>
  <si>
    <t>제로소다 오렌지 250ml, 24개입</t>
  </si>
  <si>
    <t>제로소다 레드애플 250ml, 24개입</t>
  </si>
  <si>
    <t>제로소다 소다 250ml, 24개입</t>
  </si>
  <si>
    <t>오리지널 1.5L, 6개입</t>
  </si>
  <si>
    <t>제주감귤 500ml, 24개입</t>
  </si>
  <si>
    <t>추가 물류비</t>
  </si>
  <si>
    <t>1월</t>
    <phoneticPr fontId="10" type="noConversion"/>
  </si>
  <si>
    <t>2월</t>
    <phoneticPr fontId="10" type="noConversion"/>
  </si>
  <si>
    <t>3월</t>
    <phoneticPr fontId="10" type="noConversion"/>
  </si>
  <si>
    <t>매실 500ml, 24개입</t>
    <phoneticPr fontId="10" type="noConversion"/>
  </si>
  <si>
    <t>제주감귤 500ml, 24개입</t>
    <phoneticPr fontId="10" type="noConversion"/>
  </si>
  <si>
    <t>오리지널 1.5L, 6개입</t>
    <phoneticPr fontId="10" type="noConversion"/>
  </si>
  <si>
    <t>신비복숭아 제로 250ml, 24개입</t>
    <phoneticPr fontId="10" type="noConversion"/>
  </si>
  <si>
    <t>매실 제로 250ml, 24개입</t>
    <phoneticPr fontId="10" type="noConversion"/>
  </si>
  <si>
    <t>패션후르츠 500ml, 24개입</t>
    <phoneticPr fontId="10" type="noConversion"/>
  </si>
  <si>
    <t>리치 500ml, 24개입</t>
    <phoneticPr fontId="10" type="noConversion"/>
  </si>
  <si>
    <t>망고 500ml, 24개입</t>
    <phoneticPr fontId="10" type="noConversion"/>
  </si>
  <si>
    <t>2026 YTD</t>
    <phoneticPr fontId="10" type="noConversion"/>
  </si>
  <si>
    <t>2026 누적</t>
    <phoneticPr fontId="10" type="noConversion"/>
  </si>
  <si>
    <t>2025 누적</t>
    <phoneticPr fontId="15" type="noConversion"/>
  </si>
  <si>
    <r>
      <rPr>
        <b/>
        <sz val="10"/>
        <color theme="1"/>
        <rFont val="Aptos Narrow"/>
        <family val="3"/>
        <charset val="129"/>
        <scheme val="minor"/>
      </rPr>
      <t>구분</t>
    </r>
    <phoneticPr fontId="15" type="noConversion"/>
  </si>
  <si>
    <r>
      <t>2025</t>
    </r>
    <r>
      <rPr>
        <b/>
        <sz val="10"/>
        <color theme="1"/>
        <rFont val="Aptos Narrow"/>
        <family val="3"/>
        <charset val="129"/>
        <scheme val="minor"/>
      </rPr>
      <t>년</t>
    </r>
    <phoneticPr fontId="10" type="noConversion"/>
  </si>
  <si>
    <r>
      <t>2026</t>
    </r>
    <r>
      <rPr>
        <b/>
        <sz val="10"/>
        <color theme="1"/>
        <rFont val="Aptos Narrow"/>
        <family val="3"/>
        <charset val="129"/>
        <scheme val="minor"/>
      </rPr>
      <t>년</t>
    </r>
    <phoneticPr fontId="10" type="noConversion"/>
  </si>
  <si>
    <r>
      <t>4</t>
    </r>
    <r>
      <rPr>
        <b/>
        <sz val="10"/>
        <color theme="1"/>
        <rFont val="Aptos Narrow"/>
        <family val="3"/>
        <charset val="129"/>
        <scheme val="minor"/>
      </rPr>
      <t>월</t>
    </r>
    <phoneticPr fontId="15" type="noConversion"/>
  </si>
  <si>
    <r>
      <t>5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</si>
  <si>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6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</si>
  <si>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7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</si>
  <si>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8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</si>
  <si>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9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</si>
  <si>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10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</si>
  <si>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11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</si>
  <si>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12</t>
    </r>
    <r>
      <rPr>
        <b/>
        <sz val="10"/>
        <color theme="1"/>
        <rFont val="Aptos Narrow"/>
        <family val="3"/>
        <charset val="129"/>
        <scheme val="minor"/>
      </rPr>
      <t>월</t>
    </r>
  </si>
  <si>
    <r>
      <t>1</t>
    </r>
    <r>
      <rPr>
        <b/>
        <sz val="10"/>
        <color theme="1"/>
        <rFont val="Aptos Narrow"/>
        <family val="3"/>
        <charset val="129"/>
        <scheme val="minor"/>
      </rPr>
      <t>월</t>
    </r>
    <phoneticPr fontId="10" type="noConversion"/>
  </si>
  <si>
    <r>
      <t>2</t>
    </r>
    <r>
      <rPr>
        <b/>
        <sz val="10"/>
        <color theme="1"/>
        <rFont val="Aptos Narrow"/>
        <family val="3"/>
        <charset val="129"/>
        <scheme val="minor"/>
      </rPr>
      <t>월</t>
    </r>
    <phoneticPr fontId="10" type="noConversion"/>
  </si>
  <si>
    <r>
      <t>3</t>
    </r>
    <r>
      <rPr>
        <b/>
        <sz val="10"/>
        <color theme="1"/>
        <rFont val="Aptos Narrow"/>
        <family val="3"/>
        <charset val="129"/>
        <scheme val="minor"/>
      </rPr>
      <t>월</t>
    </r>
    <phoneticPr fontId="10" type="noConversion"/>
  </si>
  <si>
    <r>
      <t>4</t>
    </r>
    <r>
      <rPr>
        <b/>
        <sz val="10"/>
        <color theme="1"/>
        <rFont val="Aptos Narrow"/>
        <family val="3"/>
        <charset val="129"/>
        <scheme val="minor"/>
      </rPr>
      <t>월</t>
    </r>
  </si>
  <si>
    <t>target</t>
    <phoneticPr fontId="15" type="noConversion"/>
  </si>
  <si>
    <r>
      <rPr>
        <b/>
        <sz val="10"/>
        <color theme="1"/>
        <rFont val="Aptos Narrow"/>
        <family val="3"/>
        <charset val="129"/>
        <scheme val="minor"/>
      </rPr>
      <t>절감액</t>
    </r>
    <phoneticPr fontId="15" type="noConversion"/>
  </si>
  <si>
    <r>
      <rPr>
        <b/>
        <sz val="10"/>
        <color theme="1"/>
        <rFont val="Aptos Narrow"/>
        <family val="3"/>
        <charset val="129"/>
        <scheme val="minor"/>
      </rPr>
      <t>매출액</t>
    </r>
    <phoneticPr fontId="15" type="noConversion"/>
  </si>
  <si>
    <r>
      <rPr>
        <b/>
        <sz val="10"/>
        <color theme="1"/>
        <rFont val="Aptos Narrow"/>
        <family val="3"/>
        <charset val="129"/>
        <scheme val="minor"/>
      </rPr>
      <t>절감율</t>
    </r>
    <phoneticPr fontId="15" type="noConversion"/>
  </si>
  <si>
    <t>구분</t>
    <phoneticPr fontId="25" type="noConversion"/>
  </si>
  <si>
    <t>2026년</t>
    <phoneticPr fontId="25" type="noConversion"/>
  </si>
  <si>
    <t>1월</t>
    <phoneticPr fontId="25" type="noConversion"/>
  </si>
  <si>
    <r>
      <t>2월</t>
    </r>
    <r>
      <rPr>
        <sz val="10"/>
        <color rgb="FF000000"/>
        <rFont val="맑은 고딕"/>
        <family val="3"/>
        <charset val="129"/>
      </rPr>
      <t/>
    </r>
  </si>
  <si>
    <r>
      <t>3월</t>
    </r>
    <r>
      <rPr>
        <sz val="10"/>
        <color rgb="FF000000"/>
        <rFont val="맑은 고딕"/>
        <family val="3"/>
        <charset val="129"/>
      </rPr>
      <t/>
    </r>
  </si>
  <si>
    <r>
      <t>4월</t>
    </r>
    <r>
      <rPr>
        <sz val="10"/>
        <color rgb="FF000000"/>
        <rFont val="맑은 고딕"/>
        <family val="3"/>
        <charset val="129"/>
      </rPr>
      <t/>
    </r>
  </si>
  <si>
    <r>
      <t>5월</t>
    </r>
    <r>
      <rPr>
        <sz val="10"/>
        <color rgb="FF000000"/>
        <rFont val="맑은 고딕"/>
        <family val="3"/>
        <charset val="129"/>
      </rPr>
      <t/>
    </r>
  </si>
  <si>
    <r>
      <t>6월</t>
    </r>
    <r>
      <rPr>
        <sz val="10"/>
        <color rgb="FF000000"/>
        <rFont val="맑은 고딕"/>
        <family val="3"/>
        <charset val="129"/>
      </rPr>
      <t/>
    </r>
  </si>
  <si>
    <r>
      <t>7월</t>
    </r>
    <r>
      <rPr>
        <sz val="10"/>
        <color rgb="FF000000"/>
        <rFont val="맑은 고딕"/>
        <family val="3"/>
        <charset val="129"/>
      </rPr>
      <t/>
    </r>
  </si>
  <si>
    <r>
      <t>8월</t>
    </r>
    <r>
      <rPr>
        <sz val="10"/>
        <color rgb="FF000000"/>
        <rFont val="맑은 고딕"/>
        <family val="3"/>
        <charset val="129"/>
      </rPr>
      <t/>
    </r>
  </si>
  <si>
    <r>
      <t>9월</t>
    </r>
    <r>
      <rPr>
        <sz val="10"/>
        <color rgb="FF000000"/>
        <rFont val="맑은 고딕"/>
        <family val="3"/>
        <charset val="129"/>
      </rPr>
      <t/>
    </r>
  </si>
  <si>
    <r>
      <t>10월</t>
    </r>
    <r>
      <rPr>
        <sz val="10"/>
        <color rgb="FF000000"/>
        <rFont val="맑은 고딕"/>
        <family val="3"/>
        <charset val="129"/>
      </rPr>
      <t/>
    </r>
  </si>
  <si>
    <r>
      <t>11월</t>
    </r>
    <r>
      <rPr>
        <sz val="10"/>
        <color rgb="FF000000"/>
        <rFont val="맑은 고딕"/>
        <family val="3"/>
        <charset val="129"/>
      </rPr>
      <t/>
    </r>
  </si>
  <si>
    <r>
      <t>12월</t>
    </r>
    <r>
      <rPr>
        <sz val="10"/>
        <color rgb="FF000000"/>
        <rFont val="맑은 고딕"/>
        <family val="3"/>
        <charset val="129"/>
      </rPr>
      <t/>
    </r>
  </si>
  <si>
    <t>상반기</t>
    <phoneticPr fontId="25" type="noConversion"/>
  </si>
  <si>
    <t>하반기</t>
    <phoneticPr fontId="25" type="noConversion"/>
  </si>
  <si>
    <t>YTD</t>
    <phoneticPr fontId="25" type="noConversion"/>
  </si>
  <si>
    <t>직납</t>
    <phoneticPr fontId="25" type="noConversion"/>
  </si>
  <si>
    <t>밀크런&amp;쉽먼트</t>
    <phoneticPr fontId="25" type="noConversion"/>
  </si>
  <si>
    <t>TTL</t>
    <phoneticPr fontId="25" type="noConversion"/>
  </si>
  <si>
    <t>스프린트 애플블라스트 250ml, 24개입</t>
    <phoneticPr fontId="10" type="noConversion"/>
  </si>
  <si>
    <t>스프린트 사우어베리 250ml, 24개입</t>
    <phoneticPr fontId="10" type="noConversion"/>
  </si>
  <si>
    <t>스프린트 레몬부스트 250ml, 24개입</t>
    <phoneticPr fontId="10" type="noConversion"/>
  </si>
  <si>
    <t>스프린트 시트러스 250ml, 24개입</t>
    <phoneticPr fontId="10" type="noConversion"/>
  </si>
  <si>
    <t>화이바 500ml, 20개입</t>
    <phoneticPr fontId="10" type="noConversion"/>
  </si>
  <si>
    <t>건강한
사람들</t>
    <phoneticPr fontId="10" type="noConversion"/>
  </si>
  <si>
    <t>콜라 500ml, 24개입</t>
    <phoneticPr fontId="10" type="noConversion"/>
  </si>
  <si>
    <t>자두 500ml, 24개입</t>
    <phoneticPr fontId="10" type="noConversion"/>
  </si>
  <si>
    <t>보해양조</t>
    <phoneticPr fontId="10" type="noConversion"/>
  </si>
  <si>
    <t>스프린트,에반게리온,레몬부스트제로,500ml*24입</t>
  </si>
  <si>
    <t>스프린트,에반게리온,애플블라스트제로,500ml*24입</t>
  </si>
  <si>
    <t>스프린트,에반게리온,오렌지임팩트제로,500ml*24입</t>
  </si>
  <si>
    <t>스프린트,에반게리온,시트러스버스트제로,500ml*24입</t>
  </si>
  <si>
    <t>스프린트,진격거,애플블라스트제로,500ml*24입</t>
  </si>
  <si>
    <t>스프린트,진격거,레몬부스트제로,500ml*24입</t>
  </si>
  <si>
    <t>스프린트,진격거,오렌지임팩트제로,500ml*24입</t>
  </si>
  <si>
    <t>스프린트,진격거,시트러스버스트제로,500ml*24입</t>
  </si>
  <si>
    <t>FCAVS10001</t>
    <phoneticPr fontId="10" type="noConversion"/>
  </si>
  <si>
    <t>FCAVS10002</t>
    <phoneticPr fontId="10" type="noConversion"/>
  </si>
  <si>
    <t>FCAVS10006</t>
    <phoneticPr fontId="10" type="noConversion"/>
  </si>
  <si>
    <t>FCAUS10022</t>
    <phoneticPr fontId="10" type="noConversion"/>
  </si>
  <si>
    <t>FCAVS10017</t>
    <phoneticPr fontId="10" type="noConversion"/>
  </si>
  <si>
    <t>FCAVS10019</t>
    <phoneticPr fontId="10" type="noConversion"/>
  </si>
  <si>
    <t>FCAVS10010</t>
    <phoneticPr fontId="10" type="noConversion"/>
  </si>
  <si>
    <t>FCAVS10011</t>
    <phoneticPr fontId="10" type="noConversion"/>
  </si>
  <si>
    <t>FCAVS10012</t>
    <phoneticPr fontId="10" type="noConversion"/>
  </si>
  <si>
    <t>FCAVS10018</t>
    <phoneticPr fontId="10" type="noConversion"/>
  </si>
  <si>
    <t>FCAVS10009</t>
    <phoneticPr fontId="10" type="noConversion"/>
  </si>
  <si>
    <t>FCAVS10004</t>
    <phoneticPr fontId="10" type="noConversion"/>
  </si>
  <si>
    <t>FCAVS10005</t>
    <phoneticPr fontId="10" type="noConversion"/>
  </si>
  <si>
    <t>FCAVS10022</t>
    <phoneticPr fontId="10" type="noConversion"/>
  </si>
  <si>
    <t>FCAVS10021</t>
    <phoneticPr fontId="10" type="noConversion"/>
  </si>
  <si>
    <t>FCZSS10022</t>
    <phoneticPr fontId="10" type="noConversion"/>
  </si>
  <si>
    <t>FCZSS10025</t>
    <phoneticPr fontId="10" type="noConversion"/>
  </si>
  <si>
    <t>FCZSS10024</t>
    <phoneticPr fontId="10" type="noConversion"/>
  </si>
  <si>
    <t>FCZSS10023</t>
    <phoneticPr fontId="10" type="noConversion"/>
  </si>
  <si>
    <t>FCZSS10026</t>
    <phoneticPr fontId="10" type="noConversion"/>
  </si>
  <si>
    <t>FCZSS10027</t>
    <phoneticPr fontId="10" type="noConversion"/>
  </si>
  <si>
    <t>FCZSS10021</t>
    <phoneticPr fontId="10" type="noConversion"/>
  </si>
  <si>
    <t>FCSES10004</t>
    <phoneticPr fontId="10" type="noConversion"/>
  </si>
  <si>
    <t>FCSES10002</t>
    <phoneticPr fontId="10" type="noConversion"/>
  </si>
  <si>
    <t>FCSES10007</t>
    <phoneticPr fontId="10" type="noConversion"/>
  </si>
  <si>
    <t>FCSES10016</t>
    <phoneticPr fontId="10" type="noConversion"/>
  </si>
  <si>
    <t>FCAVS10020</t>
    <phoneticPr fontId="10" type="noConversion"/>
  </si>
  <si>
    <t>FCAUS10003</t>
    <phoneticPr fontId="10" type="noConversion"/>
  </si>
  <si>
    <t>FCAUS10002</t>
    <phoneticPr fontId="10" type="noConversion"/>
  </si>
  <si>
    <t>FCAUS10001</t>
    <phoneticPr fontId="10" type="noConversion"/>
  </si>
  <si>
    <t>FCAUS10021</t>
    <phoneticPr fontId="10" type="noConversion"/>
  </si>
  <si>
    <t>FCAUS10023</t>
    <phoneticPr fontId="10" type="noConversion"/>
  </si>
  <si>
    <t>FCSES10005</t>
    <phoneticPr fontId="10" type="noConversion"/>
  </si>
  <si>
    <t>FCSES10006</t>
    <phoneticPr fontId="10" type="noConversion"/>
  </si>
  <si>
    <t>FCSES10008</t>
    <phoneticPr fontId="10" type="noConversion"/>
  </si>
  <si>
    <t>FCSES10009</t>
    <phoneticPr fontId="10" type="noConversion"/>
  </si>
  <si>
    <t>FCSES10017</t>
    <phoneticPr fontId="10" type="noConversion"/>
  </si>
  <si>
    <t>FCSES10018</t>
    <phoneticPr fontId="10" type="noConversion"/>
  </si>
  <si>
    <t>FCSES10019</t>
    <phoneticPr fontId="10" type="noConversion"/>
  </si>
  <si>
    <t>FCSES10020</t>
    <phoneticPr fontId="10" type="noConversion"/>
  </si>
  <si>
    <t>FCAVS10016</t>
  </si>
  <si>
    <t>FCAVS10009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</si>
</sst>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_-;\-* #,##0_-;_-* &quot;-&quot;_-;_-@"/>
    <numFmt numFmtId="177" formatCode="_-* #,##0.00_-;\-* #,##0.00_-;_-* &quot;-&quot;_-;_-@"/>
    <numFmt numFmtId="178" formatCode="0.0%"/>
  </numFmts>
  <fonts count="30">
    <font>
      <sz val="11"/>
      <color theme="1"/>
      <name val="Aptos Narrow"/>
      <scheme val="minor"/>
    </font>
    <font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Aptos Narrow"/>
      <family val="2"/>
    </font>
    <font>
      <b/>
      <sz val="10"/>
      <color theme="0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theme="0"/>
      <name val="Malgun Gothic"/>
      <family val="3"/>
      <charset val="129"/>
    </font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i/>
      <u/>
      <sz val="10"/>
      <color theme="1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8"/>
      <color theme="1"/>
      <name val="Aptos Narrow"/>
      <family val="2"/>
      <charset val="129"/>
      <scheme val="minor"/>
    </font>
    <font>
      <sz val="8"/>
      <color rgb="FFFF0000"/>
      <name val="Aptos Narrow"/>
      <family val="2"/>
      <charset val="129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Narrow"/>
      <family val="3"/>
      <charset val="129"/>
      <scheme val="minor"/>
    </font>
    <font>
      <b/>
      <sz val="10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Aptos Narrow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Aptos Narrow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C00000"/>
      <name val="Aptos Narrow"/>
      <family val="3"/>
      <charset val="129"/>
      <scheme val="minor"/>
    </font>
    <font>
      <sz val="10"/>
      <color theme="0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F2F2F2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9">
    <xf numFmtId="0" fontId="0" fillId="0" borderId="0"/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0" borderId="1"/>
    <xf numFmtId="41" fontId="9" fillId="0" borderId="1" applyFont="0" applyFill="0" applyBorder="0" applyAlignment="0" applyProtection="0">
      <alignment vertical="center"/>
    </xf>
    <xf numFmtId="9" fontId="9" fillId="0" borderId="1" applyFont="0" applyFill="0" applyBorder="0" applyAlignment="0" applyProtection="0">
      <alignment vertical="center"/>
    </xf>
    <xf numFmtId="0" fontId="23" fillId="0" borderId="1">
      <alignment vertical="center"/>
    </xf>
    <xf numFmtId="41" fontId="23" fillId="0" borderId="1" applyFont="0" applyFill="0" applyBorder="0" applyAlignment="0" applyProtection="0">
      <alignment vertical="center"/>
    </xf>
    <xf numFmtId="9" fontId="23" fillId="0" borderId="1" applyFont="0" applyFill="0" applyBorder="0" applyAlignment="0" applyProtection="0">
      <alignment vertical="center"/>
    </xf>
  </cellStyleXfs>
  <cellXfs count="1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3" fillId="2" borderId="1" xfId="0" applyNumberFormat="1" applyFont="1" applyFill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176" fontId="1" fillId="5" borderId="17" xfId="0" applyNumberFormat="1" applyFont="1" applyFill="1" applyBorder="1" applyAlignment="1">
      <alignment vertical="center"/>
    </xf>
    <xf numFmtId="177" fontId="1" fillId="5" borderId="18" xfId="0" applyNumberFormat="1" applyFont="1" applyFill="1" applyBorder="1" applyAlignment="1">
      <alignment vertical="center"/>
    </xf>
    <xf numFmtId="176" fontId="1" fillId="5" borderId="18" xfId="0" applyNumberFormat="1" applyFont="1" applyFill="1" applyBorder="1" applyAlignment="1">
      <alignment vertical="center"/>
    </xf>
    <xf numFmtId="176" fontId="1" fillId="5" borderId="19" xfId="0" applyNumberFormat="1" applyFont="1" applyFill="1" applyBorder="1" applyAlignment="1">
      <alignment vertical="center"/>
    </xf>
    <xf numFmtId="176" fontId="1" fillId="0" borderId="17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0" fontId="4" fillId="3" borderId="20" xfId="0" applyFont="1" applyFill="1" applyBorder="1" applyAlignment="1">
      <alignment vertical="center"/>
    </xf>
    <xf numFmtId="176" fontId="1" fillId="5" borderId="21" xfId="0" applyNumberFormat="1" applyFont="1" applyFill="1" applyBorder="1" applyAlignment="1">
      <alignment vertical="center"/>
    </xf>
    <xf numFmtId="177" fontId="1" fillId="5" borderId="22" xfId="0" applyNumberFormat="1" applyFont="1" applyFill="1" applyBorder="1" applyAlignment="1">
      <alignment vertical="center"/>
    </xf>
    <xf numFmtId="176" fontId="1" fillId="5" borderId="22" xfId="0" applyNumberFormat="1" applyFont="1" applyFill="1" applyBorder="1" applyAlignment="1">
      <alignment vertical="center"/>
    </xf>
    <xf numFmtId="176" fontId="1" fillId="5" borderId="23" xfId="0" applyNumberFormat="1" applyFont="1" applyFill="1" applyBorder="1" applyAlignment="1">
      <alignment vertical="center"/>
    </xf>
    <xf numFmtId="176" fontId="1" fillId="0" borderId="21" xfId="0" applyNumberFormat="1" applyFont="1" applyBorder="1" applyAlignment="1">
      <alignment vertical="center"/>
    </xf>
    <xf numFmtId="176" fontId="1" fillId="0" borderId="22" xfId="0" applyNumberFormat="1" applyFont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176" fontId="1" fillId="5" borderId="25" xfId="0" applyNumberFormat="1" applyFont="1" applyFill="1" applyBorder="1" applyAlignment="1">
      <alignment vertical="center"/>
    </xf>
    <xf numFmtId="177" fontId="1" fillId="5" borderId="26" xfId="0" applyNumberFormat="1" applyFont="1" applyFill="1" applyBorder="1" applyAlignment="1">
      <alignment vertical="center"/>
    </xf>
    <xf numFmtId="176" fontId="1" fillId="5" borderId="26" xfId="0" applyNumberFormat="1" applyFont="1" applyFill="1" applyBorder="1" applyAlignment="1">
      <alignment vertical="center"/>
    </xf>
    <xf numFmtId="176" fontId="1" fillId="5" borderId="27" xfId="0" applyNumberFormat="1" applyFont="1" applyFill="1" applyBorder="1" applyAlignment="1">
      <alignment vertical="center"/>
    </xf>
    <xf numFmtId="176" fontId="1" fillId="0" borderId="25" xfId="0" applyNumberFormat="1" applyFont="1" applyBorder="1" applyAlignment="1">
      <alignment vertical="center"/>
    </xf>
    <xf numFmtId="176" fontId="1" fillId="0" borderId="26" xfId="0" applyNumberFormat="1" applyFont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176" fontId="1" fillId="5" borderId="29" xfId="0" applyNumberFormat="1" applyFont="1" applyFill="1" applyBorder="1" applyAlignment="1">
      <alignment vertical="center"/>
    </xf>
    <xf numFmtId="177" fontId="1" fillId="5" borderId="30" xfId="0" applyNumberFormat="1" applyFont="1" applyFill="1" applyBorder="1" applyAlignment="1">
      <alignment vertical="center"/>
    </xf>
    <xf numFmtId="176" fontId="1" fillId="5" borderId="30" xfId="0" applyNumberFormat="1" applyFont="1" applyFill="1" applyBorder="1" applyAlignment="1">
      <alignment vertical="center"/>
    </xf>
    <xf numFmtId="176" fontId="1" fillId="5" borderId="31" xfId="0" applyNumberFormat="1" applyFont="1" applyFill="1" applyBorder="1" applyAlignment="1">
      <alignment vertical="center"/>
    </xf>
    <xf numFmtId="176" fontId="1" fillId="0" borderId="29" xfId="0" applyNumberFormat="1" applyFont="1" applyBorder="1" applyAlignment="1">
      <alignment vertical="center"/>
    </xf>
    <xf numFmtId="176" fontId="1" fillId="0" borderId="30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32" xfId="0" applyFont="1" applyFill="1" applyBorder="1" applyAlignment="1">
      <alignment vertical="center"/>
    </xf>
    <xf numFmtId="176" fontId="1" fillId="5" borderId="33" xfId="0" applyNumberFormat="1" applyFont="1" applyFill="1" applyBorder="1" applyAlignment="1">
      <alignment vertical="center"/>
    </xf>
    <xf numFmtId="177" fontId="1" fillId="5" borderId="34" xfId="0" applyNumberFormat="1" applyFont="1" applyFill="1" applyBorder="1" applyAlignment="1">
      <alignment vertical="center"/>
    </xf>
    <xf numFmtId="176" fontId="1" fillId="5" borderId="34" xfId="0" applyNumberFormat="1" applyFont="1" applyFill="1" applyBorder="1" applyAlignment="1">
      <alignment vertical="center"/>
    </xf>
    <xf numFmtId="176" fontId="1" fillId="5" borderId="35" xfId="0" applyNumberFormat="1" applyFont="1" applyFill="1" applyBorder="1" applyAlignment="1">
      <alignment vertical="center"/>
    </xf>
    <xf numFmtId="176" fontId="1" fillId="0" borderId="33" xfId="0" applyNumberFormat="1" applyFont="1" applyBorder="1" applyAlignment="1">
      <alignment vertical="center"/>
    </xf>
    <xf numFmtId="176" fontId="1" fillId="0" borderId="34" xfId="0" applyNumberFormat="1" applyFont="1" applyBorder="1" applyAlignment="1">
      <alignment vertical="center"/>
    </xf>
    <xf numFmtId="0" fontId="11" fillId="3" borderId="20" xfId="0" applyFont="1" applyFill="1" applyBorder="1" applyAlignment="1">
      <alignment vertical="center"/>
    </xf>
    <xf numFmtId="176" fontId="12" fillId="0" borderId="12" xfId="0" applyNumberFormat="1" applyFont="1" applyBorder="1" applyAlignment="1">
      <alignment vertical="center"/>
    </xf>
    <xf numFmtId="0" fontId="14" fillId="0" borderId="36" xfId="0" applyFont="1" applyBorder="1" applyAlignment="1">
      <alignment horizontal="center" vertical="center"/>
    </xf>
    <xf numFmtId="41" fontId="17" fillId="0" borderId="36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0" fontId="16" fillId="0" borderId="37" xfId="2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176" fontId="1" fillId="5" borderId="1" xfId="0" applyNumberFormat="1" applyFont="1" applyFill="1" applyBorder="1" applyAlignment="1">
      <alignment vertical="center"/>
    </xf>
    <xf numFmtId="177" fontId="1" fillId="5" borderId="1" xfId="0" applyNumberFormat="1" applyFont="1" applyFill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41" fontId="18" fillId="0" borderId="36" xfId="1" applyFont="1" applyBorder="1" applyAlignment="1">
      <alignment horizontal="center" vertical="center"/>
    </xf>
    <xf numFmtId="176" fontId="18" fillId="0" borderId="12" xfId="0" applyNumberFormat="1" applyFont="1" applyBorder="1" applyAlignment="1">
      <alignment horizontal="center" vertical="center"/>
    </xf>
    <xf numFmtId="10" fontId="18" fillId="0" borderId="36" xfId="2" applyNumberFormat="1" applyFont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vertical="center"/>
    </xf>
    <xf numFmtId="0" fontId="21" fillId="7" borderId="36" xfId="0" applyFont="1" applyFill="1" applyBorder="1" applyAlignment="1">
      <alignment vertical="center"/>
    </xf>
    <xf numFmtId="10" fontId="22" fillId="7" borderId="36" xfId="2" applyNumberFormat="1" applyFont="1" applyFill="1" applyBorder="1" applyAlignment="1">
      <alignment horizontal="center" vertical="center"/>
    </xf>
    <xf numFmtId="0" fontId="26" fillId="0" borderId="1" xfId="6" applyFont="1">
      <alignment vertical="center"/>
    </xf>
    <xf numFmtId="0" fontId="23" fillId="0" borderId="1" xfId="6">
      <alignment vertical="center"/>
    </xf>
    <xf numFmtId="0" fontId="24" fillId="6" borderId="36" xfId="6" applyFont="1" applyFill="1" applyBorder="1" applyAlignment="1">
      <alignment horizontal="center" vertical="center"/>
    </xf>
    <xf numFmtId="41" fontId="26" fillId="0" borderId="36" xfId="7" applyFont="1" applyBorder="1" applyAlignment="1">
      <alignment horizontal="center" vertical="center"/>
    </xf>
    <xf numFmtId="41" fontId="26" fillId="0" borderId="36" xfId="6" applyNumberFormat="1" applyFont="1" applyBorder="1" applyAlignment="1">
      <alignment horizontal="center" vertical="center"/>
    </xf>
    <xf numFmtId="178" fontId="28" fillId="0" borderId="1" xfId="8" applyNumberFormat="1" applyFont="1">
      <alignment vertical="center"/>
    </xf>
    <xf numFmtId="176" fontId="1" fillId="0" borderId="22" xfId="0" applyNumberFormat="1" applyFont="1" applyBorder="1" applyAlignment="1">
      <alignment horizontal="center" vertical="center"/>
    </xf>
    <xf numFmtId="0" fontId="4" fillId="3" borderId="43" xfId="0" applyFont="1" applyFill="1" applyBorder="1" applyAlignment="1">
      <alignment vertical="center"/>
    </xf>
    <xf numFmtId="176" fontId="1" fillId="5" borderId="44" xfId="0" applyNumberFormat="1" applyFont="1" applyFill="1" applyBorder="1" applyAlignment="1">
      <alignment vertical="center"/>
    </xf>
    <xf numFmtId="177" fontId="1" fillId="5" borderId="45" xfId="0" applyNumberFormat="1" applyFont="1" applyFill="1" applyBorder="1" applyAlignment="1">
      <alignment vertical="center"/>
    </xf>
    <xf numFmtId="176" fontId="1" fillId="5" borderId="45" xfId="0" applyNumberFormat="1" applyFont="1" applyFill="1" applyBorder="1" applyAlignment="1">
      <alignment vertical="center"/>
    </xf>
    <xf numFmtId="176" fontId="1" fillId="5" borderId="46" xfId="0" applyNumberFormat="1" applyFont="1" applyFill="1" applyBorder="1" applyAlignment="1">
      <alignment vertical="center"/>
    </xf>
    <xf numFmtId="176" fontId="1" fillId="0" borderId="44" xfId="0" applyNumberFormat="1" applyFont="1" applyBorder="1" applyAlignment="1">
      <alignment vertical="center"/>
    </xf>
    <xf numFmtId="176" fontId="1" fillId="0" borderId="45" xfId="0" applyNumberFormat="1" applyFont="1" applyBorder="1" applyAlignment="1">
      <alignment vertical="center"/>
    </xf>
    <xf numFmtId="0" fontId="29" fillId="0" borderId="0" xfId="0" applyFont="1" applyAlignment="1">
      <alignment horizontal="right" vertical="center"/>
    </xf>
    <xf numFmtId="0" fontId="4" fillId="3" borderId="47" xfId="0" applyFont="1" applyFill="1" applyBorder="1" applyAlignment="1">
      <alignment vertical="center"/>
    </xf>
    <xf numFmtId="176" fontId="1" fillId="5" borderId="48" xfId="0" applyNumberFormat="1" applyFont="1" applyFill="1" applyBorder="1" applyAlignment="1">
      <alignment vertical="center"/>
    </xf>
    <xf numFmtId="177" fontId="1" fillId="5" borderId="49" xfId="0" applyNumberFormat="1" applyFont="1" applyFill="1" applyBorder="1" applyAlignment="1">
      <alignment vertical="center"/>
    </xf>
    <xf numFmtId="176" fontId="1" fillId="5" borderId="49" xfId="0" applyNumberFormat="1" applyFont="1" applyFill="1" applyBorder="1" applyAlignment="1">
      <alignment vertical="center"/>
    </xf>
    <xf numFmtId="176" fontId="1" fillId="5" borderId="50" xfId="0" applyNumberFormat="1" applyFont="1" applyFill="1" applyBorder="1" applyAlignment="1">
      <alignment vertical="center"/>
    </xf>
    <xf numFmtId="176" fontId="1" fillId="0" borderId="48" xfId="0" applyNumberFormat="1" applyFont="1" applyBorder="1" applyAlignment="1">
      <alignment vertical="center"/>
    </xf>
    <xf numFmtId="176" fontId="1" fillId="0" borderId="49" xfId="0" applyNumberFormat="1" applyFont="1" applyBorder="1" applyAlignment="1">
      <alignment vertical="center"/>
    </xf>
    <xf numFmtId="176" fontId="1" fillId="5" borderId="50" xfId="3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0" fontId="24" fillId="6" borderId="37" xfId="6" applyFont="1" applyFill="1" applyBorder="1" applyAlignment="1">
      <alignment horizontal="center" vertical="center"/>
    </xf>
    <xf numFmtId="0" fontId="24" fillId="6" borderId="41" xfId="6" applyFont="1" applyFill="1" applyBorder="1" applyAlignment="1">
      <alignment horizontal="center" vertical="center"/>
    </xf>
    <xf numFmtId="0" fontId="24" fillId="6" borderId="38" xfId="6" applyFont="1" applyFill="1" applyBorder="1" applyAlignment="1">
      <alignment horizontal="center" vertical="center"/>
    </xf>
    <xf numFmtId="0" fontId="24" fillId="6" borderId="39" xfId="6" applyFont="1" applyFill="1" applyBorder="1" applyAlignment="1">
      <alignment horizontal="center" vertical="center"/>
    </xf>
    <xf numFmtId="0" fontId="24" fillId="6" borderId="40" xfId="6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</cellXfs>
  <cellStyles count="9">
    <cellStyle name="백분율" xfId="2" builtinId="5"/>
    <cellStyle name="백분율 2" xfId="5" xr:uid="{760763D9-1892-4DD9-88CD-D60A06F25A63}"/>
    <cellStyle name="백분율 3" xfId="8" xr:uid="{7B659802-BDBA-46C9-8765-DED2060F7BF2}"/>
    <cellStyle name="쉼표 [0]" xfId="1" builtinId="6"/>
    <cellStyle name="쉼표 [0] 2" xfId="4" xr:uid="{C226202F-10A3-46C7-85D5-175107CC70CC}"/>
    <cellStyle name="쉼표 [0] 3" xfId="7" xr:uid="{052EB469-BECE-434F-A531-885039F9C72E}"/>
    <cellStyle name="표준" xfId="0" builtinId="0"/>
    <cellStyle name="표준 2" xfId="3" xr:uid="{3EFA297C-23E1-4A2A-B8D9-B7C31177858A}"/>
    <cellStyle name="표준 3" xfId="6" xr:uid="{23ED221E-8293-4D56-AFBC-C14BDD2AF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63628948771846E-2"/>
          <c:y val="9.0875991494440658E-2"/>
          <c:w val="0.87118413485166946"/>
          <c:h val="0.75640448917395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절감액V2!$D$65</c:f>
              <c:strCache>
                <c:ptCount val="1"/>
                <c:pt idx="0">
                  <c:v>절감액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절감액V2!$E$63:$Y$64</c15:sqref>
                  </c15:fullRef>
                </c:ext>
              </c:extLst>
              <c:f>절감액V2!$E$63:$Y$64</c:f>
              <c:multiLvlStrCache>
                <c:ptCount val="15"/>
                <c:lvl>
                  <c:pt idx="0">
                    <c:v>4월</c:v>
                  </c:pt>
                  <c:pt idx="1">
                    <c:v>5월</c:v>
                  </c:pt>
                  <c:pt idx="2">
                    <c:v>6월</c:v>
                  </c:pt>
                  <c:pt idx="3">
                    <c:v>7월</c:v>
                  </c:pt>
                  <c:pt idx="4">
                    <c:v>8월</c:v>
                  </c:pt>
                  <c:pt idx="5">
                    <c:v>9월</c:v>
                  </c:pt>
                  <c:pt idx="6">
                    <c:v>10월</c:v>
                  </c:pt>
                  <c:pt idx="7">
                    <c:v>11월</c:v>
                  </c:pt>
                  <c:pt idx="8">
                    <c:v>12월</c:v>
                  </c:pt>
                  <c:pt idx="9">
                    <c:v>1월</c:v>
                  </c:pt>
                  <c:pt idx="10">
                    <c:v>2월</c:v>
                  </c:pt>
                  <c:pt idx="11">
                    <c:v>3월</c:v>
                  </c:pt>
                  <c:pt idx="12">
                    <c:v>4월</c:v>
                  </c:pt>
                  <c:pt idx="13">
                    <c:v>5월</c:v>
                  </c:pt>
                  <c:pt idx="14">
                    <c:v>6월</c:v>
                  </c:pt>
                </c:lvl>
                <c:lvl>
                  <c:pt idx="0">
                    <c:v>2025년</c:v>
                  </c:pt>
                  <c:pt idx="9">
                    <c:v>2026년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절감액V2!$E$65:$Y$65</c15:sqref>
                  </c15:fullRef>
                </c:ext>
              </c:extLst>
              <c:f>절감액V2!$E$65:$S$65</c:f>
              <c:numCache>
                <c:formatCode>_(* #,##0_);_(* \(#,##0\);_(* "-"_);_(@_)</c:formatCode>
                <c:ptCount val="15"/>
                <c:pt idx="0">
                  <c:v>795520</c:v>
                </c:pt>
                <c:pt idx="1">
                  <c:v>20285760</c:v>
                </c:pt>
                <c:pt idx="2">
                  <c:v>34207360</c:v>
                </c:pt>
                <c:pt idx="3">
                  <c:v>27445440</c:v>
                </c:pt>
                <c:pt idx="4">
                  <c:v>24667446.400000002</c:v>
                </c:pt>
                <c:pt idx="5">
                  <c:v>53183780.799999997</c:v>
                </c:pt>
                <c:pt idx="6">
                  <c:v>24798903.200000003</c:v>
                </c:pt>
                <c:pt idx="7">
                  <c:v>7565117.04</c:v>
                </c:pt>
                <c:pt idx="8">
                  <c:v>25124741.84</c:v>
                </c:pt>
                <c:pt idx="9" formatCode="_-* #,##0_-;\-* #,##0_-;_-* &quot;-&quot;_-;_-@">
                  <c:v>51013777.359999999</c:v>
                </c:pt>
                <c:pt idx="10" formatCode="_-* #,##0_-;\-* #,##0_-;_-* &quot;-&quot;_-;_-@">
                  <c:v>15264526</c:v>
                </c:pt>
                <c:pt idx="11" formatCode="_-* #,##0_-;\-* #,##0_-;_-* &quot;-&quot;_-;_-@">
                  <c:v>29042361.599999998</c:v>
                </c:pt>
                <c:pt idx="12" formatCode="_-* #,##0_-;\-* #,##0_-;_-* &quot;-&quot;_-;_-@">
                  <c:v>28660251.599999998</c:v>
                </c:pt>
                <c:pt idx="13" formatCode="_-* #,##0_-;\-* #,##0_-;_-* &quot;-&quot;_-;_-@">
                  <c:v>32515667.599999994</c:v>
                </c:pt>
                <c:pt idx="14" formatCode="_-* #,##0_-;\-* #,##0_-;_-* &quot;-&quot;_-;_-@">
                  <c:v>22079916.399999999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E-4B7A-9E51-2F8299E89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8147536"/>
        <c:axId val="3181451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절감액V2!$D$66</c15:sqref>
                        </c15:formulaRef>
                      </c:ext>
                    </c:extLst>
                    <c:strCache>
                      <c:ptCount val="1"/>
                      <c:pt idx="0">
                        <c:v>매출액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절감액V2!$E$63:$Y$64</c15:sqref>
                        </c15:fullRef>
                        <c15:formulaRef>
                          <c15:sqref>절감액V2!$E$63:$Y$64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4월</c:v>
                        </c:pt>
                        <c:pt idx="1">
                          <c:v>5월</c:v>
                        </c:pt>
                        <c:pt idx="2">
                          <c:v>6월</c:v>
                        </c:pt>
                        <c:pt idx="3">
                          <c:v>7월</c:v>
                        </c:pt>
                        <c:pt idx="4">
                          <c:v>8월</c:v>
                        </c:pt>
                        <c:pt idx="5">
                          <c:v>9월</c:v>
                        </c:pt>
                        <c:pt idx="6">
                          <c:v>10월</c:v>
                        </c:pt>
                        <c:pt idx="7">
                          <c:v>11월</c:v>
                        </c:pt>
                        <c:pt idx="8">
                          <c:v>12월</c:v>
                        </c:pt>
                        <c:pt idx="9">
                          <c:v>1월</c:v>
                        </c:pt>
                        <c:pt idx="10">
                          <c:v>2월</c:v>
                        </c:pt>
                        <c:pt idx="11">
                          <c:v>3월</c:v>
                        </c:pt>
                        <c:pt idx="12">
                          <c:v>4월</c:v>
                        </c:pt>
                        <c:pt idx="13">
                          <c:v>5월</c:v>
                        </c:pt>
                        <c:pt idx="14">
                          <c:v>6월</c:v>
                        </c:pt>
                      </c:lvl>
                      <c:lvl>
                        <c:pt idx="0">
                          <c:v>2025년</c:v>
                        </c:pt>
                        <c:pt idx="9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절감액V2!$E$66:$Y$66</c15:sqref>
                        </c15:fullRef>
                        <c15:formulaRef>
                          <c15:sqref>절감액V2!$E$66:$S$66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5"/>
                      <c:pt idx="0">
                        <c:v>2530843178</c:v>
                      </c:pt>
                      <c:pt idx="1">
                        <c:v>2398699509</c:v>
                      </c:pt>
                      <c:pt idx="2">
                        <c:v>2667219080</c:v>
                      </c:pt>
                      <c:pt idx="3">
                        <c:v>2637426758</c:v>
                      </c:pt>
                      <c:pt idx="4">
                        <c:v>2169360007</c:v>
                      </c:pt>
                      <c:pt idx="5">
                        <c:v>3105564815</c:v>
                      </c:pt>
                      <c:pt idx="6">
                        <c:v>1621443974</c:v>
                      </c:pt>
                      <c:pt idx="7">
                        <c:v>746215306</c:v>
                      </c:pt>
                      <c:pt idx="8">
                        <c:v>1804223046</c:v>
                      </c:pt>
                      <c:pt idx="9" formatCode="_-* #,##0_-;\-* #,##0_-;_-* &quot;-&quot;_-;_-@">
                        <c:v>2447466737</c:v>
                      </c:pt>
                      <c:pt idx="10" formatCode="_-* #,##0_-;\-* #,##0_-;_-* &quot;-&quot;_-;_-@">
                        <c:v>1674213567</c:v>
                      </c:pt>
                      <c:pt idx="11" formatCode="_-* #,##0_-;\-* #,##0_-;_-* &quot;-&quot;_-;_-@">
                        <c:v>1907300958</c:v>
                      </c:pt>
                      <c:pt idx="12" formatCode="_-* #,##0_-;\-* #,##0_-;_-* &quot;-&quot;_-;_-@">
                        <c:v>2349855331</c:v>
                      </c:pt>
                      <c:pt idx="13" formatCode="_-* #,##0_-;\-* #,##0_-;_-* &quot;-&quot;_-;_-@">
                        <c:v>2609565928</c:v>
                      </c:pt>
                      <c:pt idx="14" formatCode="_-* #,##0_-;\-* #,##0_-;_-* &quot;-&quot;_-;_-@">
                        <c:v>2232552430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97E-4B7A-9E51-2F8299E895C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절감액V2!$D$67</c:f>
              <c:strCache>
                <c:ptCount val="1"/>
                <c:pt idx="0">
                  <c:v>절감율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chemeClr val="accent3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절감액V2!$E$63:$Y$64</c15:sqref>
                  </c15:fullRef>
                </c:ext>
              </c:extLst>
              <c:f>절감액V2!$E$63:$Y$64</c:f>
              <c:multiLvlStrCache>
                <c:ptCount val="15"/>
                <c:lvl>
                  <c:pt idx="0">
                    <c:v>4월</c:v>
                  </c:pt>
                  <c:pt idx="1">
                    <c:v>5월</c:v>
                  </c:pt>
                  <c:pt idx="2">
                    <c:v>6월</c:v>
                  </c:pt>
                  <c:pt idx="3">
                    <c:v>7월</c:v>
                  </c:pt>
                  <c:pt idx="4">
                    <c:v>8월</c:v>
                  </c:pt>
                  <c:pt idx="5">
                    <c:v>9월</c:v>
                  </c:pt>
                  <c:pt idx="6">
                    <c:v>10월</c:v>
                  </c:pt>
                  <c:pt idx="7">
                    <c:v>11월</c:v>
                  </c:pt>
                  <c:pt idx="8">
                    <c:v>12월</c:v>
                  </c:pt>
                  <c:pt idx="9">
                    <c:v>1월</c:v>
                  </c:pt>
                  <c:pt idx="10">
                    <c:v>2월</c:v>
                  </c:pt>
                  <c:pt idx="11">
                    <c:v>3월</c:v>
                  </c:pt>
                  <c:pt idx="12">
                    <c:v>4월</c:v>
                  </c:pt>
                  <c:pt idx="13">
                    <c:v>5월</c:v>
                  </c:pt>
                  <c:pt idx="14">
                    <c:v>6월</c:v>
                  </c:pt>
                </c:lvl>
                <c:lvl>
                  <c:pt idx="0">
                    <c:v>2025년</c:v>
                  </c:pt>
                  <c:pt idx="9">
                    <c:v>2026년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절감액V2!$E$67:$Y$67</c15:sqref>
                  </c15:fullRef>
                </c:ext>
              </c:extLst>
              <c:f>절감액V2!$E$67:$S$67</c:f>
              <c:numCache>
                <c:formatCode>0.00%</c:formatCode>
                <c:ptCount val="15"/>
                <c:pt idx="0">
                  <c:v>3.1433002523240496E-4</c:v>
                </c:pt>
                <c:pt idx="1">
                  <c:v>8.4569825957303765E-3</c:v>
                </c:pt>
                <c:pt idx="2">
                  <c:v>1.2825103215743342E-2</c:v>
                </c:pt>
                <c:pt idx="3">
                  <c:v>1.0406143001602169E-2</c:v>
                </c:pt>
                <c:pt idx="4">
                  <c:v>1.1370840395510251E-2</c:v>
                </c:pt>
                <c:pt idx="5">
                  <c:v>1.7125316639060389E-2</c:v>
                </c:pt>
                <c:pt idx="6">
                  <c:v>1.5294332457767673E-2</c:v>
                </c:pt>
                <c:pt idx="7">
                  <c:v>1.0137981597498886E-2</c:v>
                </c:pt>
                <c:pt idx="8">
                  <c:v>1.3925518740990519E-2</c:v>
                </c:pt>
                <c:pt idx="9">
                  <c:v>2.084350180894818E-2</c:v>
                </c:pt>
                <c:pt idx="10">
                  <c:v>9.1174305959975527E-3</c:v>
                </c:pt>
                <c:pt idx="11">
                  <c:v>1.5226942281019919E-2</c:v>
                </c:pt>
                <c:pt idx="12">
                  <c:v>1.2196602583105997E-2</c:v>
                </c:pt>
                <c:pt idx="13">
                  <c:v>1.2460182458360176E-2</c:v>
                </c:pt>
                <c:pt idx="14">
                  <c:v>9.8899878467803778E-3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E-4B7A-9E51-2F8299E895C0}"/>
            </c:ext>
          </c:extLst>
        </c:ser>
        <c:ser>
          <c:idx val="3"/>
          <c:order val="3"/>
          <c:tx>
            <c:strRef>
              <c:f>절감액V2!$D$68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절감액V2!$E$63:$Y$64</c15:sqref>
                  </c15:fullRef>
                </c:ext>
              </c:extLst>
              <c:f>절감액V2!$E$63:$Y$64</c:f>
              <c:multiLvlStrCache>
                <c:ptCount val="15"/>
                <c:lvl>
                  <c:pt idx="0">
                    <c:v>4월</c:v>
                  </c:pt>
                  <c:pt idx="1">
                    <c:v>5월</c:v>
                  </c:pt>
                  <c:pt idx="2">
                    <c:v>6월</c:v>
                  </c:pt>
                  <c:pt idx="3">
                    <c:v>7월</c:v>
                  </c:pt>
                  <c:pt idx="4">
                    <c:v>8월</c:v>
                  </c:pt>
                  <c:pt idx="5">
                    <c:v>9월</c:v>
                  </c:pt>
                  <c:pt idx="6">
                    <c:v>10월</c:v>
                  </c:pt>
                  <c:pt idx="7">
                    <c:v>11월</c:v>
                  </c:pt>
                  <c:pt idx="8">
                    <c:v>12월</c:v>
                  </c:pt>
                  <c:pt idx="9">
                    <c:v>1월</c:v>
                  </c:pt>
                  <c:pt idx="10">
                    <c:v>2월</c:v>
                  </c:pt>
                  <c:pt idx="11">
                    <c:v>3월</c:v>
                  </c:pt>
                  <c:pt idx="12">
                    <c:v>4월</c:v>
                  </c:pt>
                  <c:pt idx="13">
                    <c:v>5월</c:v>
                  </c:pt>
                  <c:pt idx="14">
                    <c:v>6월</c:v>
                  </c:pt>
                </c:lvl>
                <c:lvl>
                  <c:pt idx="0">
                    <c:v>2025년</c:v>
                  </c:pt>
                  <c:pt idx="9">
                    <c:v>2026년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절감액V2!$E$68:$Y$68</c15:sqref>
                  </c15:fullRef>
                </c:ext>
              </c:extLst>
              <c:f>절감액V2!$E$68:$S$68</c:f>
              <c:numCache>
                <c:formatCode>0.00%</c:formatCode>
                <c:ptCount val="15"/>
                <c:pt idx="0">
                  <c:v>1.6E-2</c:v>
                </c:pt>
                <c:pt idx="1">
                  <c:v>1.6E-2</c:v>
                </c:pt>
                <c:pt idx="2">
                  <c:v>1.6E-2</c:v>
                </c:pt>
                <c:pt idx="3">
                  <c:v>1.6E-2</c:v>
                </c:pt>
                <c:pt idx="4">
                  <c:v>1.6E-2</c:v>
                </c:pt>
                <c:pt idx="5">
                  <c:v>1.6E-2</c:v>
                </c:pt>
                <c:pt idx="6">
                  <c:v>1.6E-2</c:v>
                </c:pt>
                <c:pt idx="7">
                  <c:v>1.6E-2</c:v>
                </c:pt>
                <c:pt idx="8">
                  <c:v>1.6E-2</c:v>
                </c:pt>
                <c:pt idx="9">
                  <c:v>1.6E-2</c:v>
                </c:pt>
                <c:pt idx="10">
                  <c:v>1.6E-2</c:v>
                </c:pt>
                <c:pt idx="11">
                  <c:v>1.6E-2</c:v>
                </c:pt>
                <c:pt idx="12">
                  <c:v>1.6E-2</c:v>
                </c:pt>
                <c:pt idx="13">
                  <c:v>1.6E-2</c:v>
                </c:pt>
                <c:pt idx="14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1-4F9D-ADE0-8179EFD16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651648"/>
        <c:axId val="396649248"/>
      </c:lineChart>
      <c:catAx>
        <c:axId val="3181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8145136"/>
        <c:crosses val="autoZero"/>
        <c:auto val="1"/>
        <c:lblAlgn val="ctr"/>
        <c:lblOffset val="100"/>
        <c:noMultiLvlLbl val="0"/>
      </c:catAx>
      <c:valAx>
        <c:axId val="318145136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8147536"/>
        <c:crosses val="autoZero"/>
        <c:crossBetween val="between"/>
      </c:valAx>
      <c:valAx>
        <c:axId val="3966492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6651648"/>
        <c:crosses val="max"/>
        <c:crossBetween val="between"/>
      </c:valAx>
      <c:catAx>
        <c:axId val="396651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6649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직납비율!$C$8</c:f>
              <c:strCache>
                <c:ptCount val="1"/>
                <c:pt idx="0">
                  <c:v>직납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CBD7F10-A0F8-4670-A131-A9B64618462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438-4ACB-85FC-CEB94B55C5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385263-2752-4E67-BA28-28AE3906C70A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438-4ACB-85FC-CEB94B55C5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975ED0A-EE24-4303-9351-32F6B013439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438-4ACB-85FC-CEB94B55C5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711163-F935-431C-BB26-46E7CAFA854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438-4ACB-85FC-CEB94B55C5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C29EE71-FEDC-4634-AB47-F0332164E08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438-4ACB-85FC-CEB94B55C5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D969ED-D831-4DD9-8816-00230988CD34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438-4ACB-85FC-CEB94B55C5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438-4ACB-85FC-CEB94B55C5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438-4ACB-85FC-CEB94B55C5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438-4ACB-85FC-CEB94B55C5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438-4ACB-85FC-CEB94B55C52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438-4ACB-85FC-CEB94B55C5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438-4ACB-85FC-CEB94B55C523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직납비율!$D$6:$R$7</c15:sqref>
                  </c15:fullRef>
                </c:ext>
              </c:extLst>
              <c:f>직납비율!$D$6:$R$7</c:f>
              <c:multiLvlStrCache>
                <c:ptCount val="12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</c:lvl>
                <c:lvl>
                  <c:pt idx="0">
                    <c:v>2026년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직납비율!$D$8:$R$8</c15:sqref>
                  </c15:fullRef>
                </c:ext>
              </c:extLst>
              <c:f>직납비율!$D$8:$O$8</c:f>
              <c:numCache>
                <c:formatCode>_(* #,##0_);_(* \(#,##0\);_(* "-"_);_(@_)</c:formatCode>
                <c:ptCount val="12"/>
                <c:pt idx="0">
                  <c:v>1374850085</c:v>
                </c:pt>
                <c:pt idx="1">
                  <c:v>447230442</c:v>
                </c:pt>
                <c:pt idx="2">
                  <c:v>806424969</c:v>
                </c:pt>
                <c:pt idx="3">
                  <c:v>759225782</c:v>
                </c:pt>
                <c:pt idx="4">
                  <c:v>885655632</c:v>
                </c:pt>
                <c:pt idx="5">
                  <c:v>596971311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직납비율!$D$11:$O$11</c15:f>
                <c15:dlblRangeCache>
                  <c:ptCount val="12"/>
                  <c:pt idx="0">
                    <c:v>56.2%</c:v>
                  </c:pt>
                  <c:pt idx="1">
                    <c:v>26.7%</c:v>
                  </c:pt>
                  <c:pt idx="2">
                    <c:v>42.3%</c:v>
                  </c:pt>
                  <c:pt idx="3">
                    <c:v>32.3%</c:v>
                  </c:pt>
                  <c:pt idx="4">
                    <c:v>33.9%</c:v>
                  </c:pt>
                  <c:pt idx="5">
                    <c:v>26.7%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4438-4ACB-85FC-CEB94B55C523}"/>
            </c:ext>
          </c:extLst>
        </c:ser>
        <c:ser>
          <c:idx val="1"/>
          <c:order val="1"/>
          <c:tx>
            <c:strRef>
              <c:f>직납비율!$C$9</c:f>
              <c:strCache>
                <c:ptCount val="1"/>
                <c:pt idx="0">
                  <c:v>밀크런&amp;쉽먼트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13F01CD-6D78-4DCD-8D3F-E68386A3987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438-4ACB-85FC-CEB94B55C5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14C8D2-7BB1-42F7-AC68-AAE6956E916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438-4ACB-85FC-CEB94B55C5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321E93-A4AA-4BAB-9264-181272205EDB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438-4ACB-85FC-CEB94B55C5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DAF255-4AA8-44CA-8790-7D39886B7AB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438-4ACB-85FC-CEB94B55C5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35A042-2462-45A2-92B1-3CC91B22835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438-4ACB-85FC-CEB94B55C5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A5DBFF-DD1F-4FB6-AD3F-B298F975FB47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438-4ACB-85FC-CEB94B55C5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438-4ACB-85FC-CEB94B55C5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438-4ACB-85FC-CEB94B55C5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438-4ACB-85FC-CEB94B55C5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438-4ACB-85FC-CEB94B55C52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438-4ACB-85FC-CEB94B55C5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438-4ACB-85FC-CEB94B55C523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직납비율!$D$6:$R$7</c15:sqref>
                  </c15:fullRef>
                </c:ext>
              </c:extLst>
              <c:f>직납비율!$D$6:$R$7</c:f>
              <c:multiLvlStrCache>
                <c:ptCount val="12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</c:lvl>
                <c:lvl>
                  <c:pt idx="0">
                    <c:v>2026년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직납비율!$D$9:$R$9</c15:sqref>
                  </c15:fullRef>
                </c:ext>
              </c:extLst>
              <c:f>직납비율!$D$9:$O$9</c:f>
              <c:numCache>
                <c:formatCode>_(* #,##0_);_(* \(#,##0\);_(* "-"_);_(@_)</c:formatCode>
                <c:ptCount val="12"/>
                <c:pt idx="0">
                  <c:v>1072616652</c:v>
                </c:pt>
                <c:pt idx="1">
                  <c:v>1226983125</c:v>
                </c:pt>
                <c:pt idx="2">
                  <c:v>1100875989</c:v>
                </c:pt>
                <c:pt idx="3">
                  <c:v>1590629549</c:v>
                </c:pt>
                <c:pt idx="4">
                  <c:v>1723910296</c:v>
                </c:pt>
                <c:pt idx="5">
                  <c:v>1635581119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직납비율!$D$12:$O$12</c15:f>
                <c15:dlblRangeCache>
                  <c:ptCount val="12"/>
                  <c:pt idx="0">
                    <c:v>43.8%</c:v>
                  </c:pt>
                  <c:pt idx="1">
                    <c:v>73.3%</c:v>
                  </c:pt>
                  <c:pt idx="2">
                    <c:v>57.7%</c:v>
                  </c:pt>
                  <c:pt idx="3">
                    <c:v>67.7%</c:v>
                  </c:pt>
                  <c:pt idx="4">
                    <c:v>66.1%</c:v>
                  </c:pt>
                  <c:pt idx="5">
                    <c:v>73.3%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4438-4ACB-85FC-CEB94B55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070575"/>
        <c:axId val="4607105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직납비율!$C$10</c15:sqref>
                        </c15:formulaRef>
                      </c:ext>
                    </c:extLst>
                    <c:strCache>
                      <c:ptCount val="1"/>
                      <c:pt idx="0">
                        <c:v>TTL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직납비율!$D$6:$R$7</c15:sqref>
                        </c15:fullRef>
                        <c15:formulaRef>
                          <c15:sqref>직납비율!$D$6:$R$7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1월</c:v>
                        </c:pt>
                        <c:pt idx="1">
                          <c:v>2월</c:v>
                        </c:pt>
                        <c:pt idx="2">
                          <c:v>3월</c:v>
                        </c:pt>
                        <c:pt idx="3">
                          <c:v>4월</c:v>
                        </c:pt>
                        <c:pt idx="4">
                          <c:v>5월</c:v>
                        </c:pt>
                        <c:pt idx="5">
                          <c:v>6월</c:v>
                        </c:pt>
                        <c:pt idx="6">
                          <c:v>7월</c:v>
                        </c:pt>
                        <c:pt idx="7">
                          <c:v>8월</c:v>
                        </c:pt>
                        <c:pt idx="8">
                          <c:v>9월</c:v>
                        </c:pt>
                        <c:pt idx="9">
                          <c:v>10월</c:v>
                        </c:pt>
                        <c:pt idx="10">
                          <c:v>11월</c:v>
                        </c:pt>
                        <c:pt idx="11">
                          <c:v>12월</c:v>
                        </c:pt>
                      </c:lvl>
                      <c:lvl>
                        <c:pt idx="0">
                          <c:v>2026년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직납비율!$D$10:$R$10</c15:sqref>
                        </c15:fullRef>
                        <c15:formulaRef>
                          <c15:sqref>직납비율!$D$10:$O$10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2"/>
                      <c:pt idx="0">
                        <c:v>2447466737</c:v>
                      </c:pt>
                      <c:pt idx="1">
                        <c:v>1674213567</c:v>
                      </c:pt>
                      <c:pt idx="2">
                        <c:v>1907300958</c:v>
                      </c:pt>
                      <c:pt idx="3">
                        <c:v>2349855331</c:v>
                      </c:pt>
                      <c:pt idx="4">
                        <c:v>2609565928</c:v>
                      </c:pt>
                      <c:pt idx="5">
                        <c:v>2232552430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4438-4ACB-85FC-CEB94B55C523}"/>
                  </c:ext>
                </c:extLst>
              </c15:ser>
            </c15:filteredBarSeries>
          </c:ext>
        </c:extLst>
      </c:barChart>
      <c:catAx>
        <c:axId val="4607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071055"/>
        <c:crosses val="autoZero"/>
        <c:auto val="1"/>
        <c:lblAlgn val="ctr"/>
        <c:lblOffset val="100"/>
        <c:noMultiLvlLbl val="0"/>
      </c:catAx>
      <c:valAx>
        <c:axId val="46071055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0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69</xdr:row>
      <xdr:rowOff>47625</xdr:rowOff>
    </xdr:from>
    <xdr:to>
      <xdr:col>13</xdr:col>
      <xdr:colOff>704849</xdr:colOff>
      <xdr:row>88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485352C-607F-4187-901B-947D62E50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13</xdr:row>
      <xdr:rowOff>114300</xdr:rowOff>
    </xdr:from>
    <xdr:to>
      <xdr:col>11</xdr:col>
      <xdr:colOff>838199</xdr:colOff>
      <xdr:row>37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95F4196-53CE-4CE2-BB48-F18F750B6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25"/>
  <sheetViews>
    <sheetView showGridLines="0" tabSelected="1" workbookViewId="0">
      <pane xSplit="7" ySplit="7" topLeftCell="H24" activePane="bottomRight" state="frozen"/>
      <selection pane="topRight" activeCell="H1" sqref="H1"/>
      <selection pane="bottomLeft" activeCell="A8" sqref="A8"/>
      <selection pane="bottomRight" activeCell="C35" sqref="C35"/>
    </sheetView>
  </sheetViews>
  <sheetFormatPr defaultColWidth="12.5703125" defaultRowHeight="15" customHeight="1"/>
  <cols>
    <col min="1" max="1" width="3.85546875" customWidth="1"/>
    <col min="2" max="2" width="7.85546875" customWidth="1"/>
    <col min="3" max="3" width="47.140625" customWidth="1"/>
    <col min="4" max="4" width="8.28515625" bestFit="1" customWidth="1"/>
    <col min="5" max="9" width="14" bestFit="1" customWidth="1"/>
    <col min="10" max="21" width="13.7109375" customWidth="1"/>
    <col min="22" max="22" width="10.42578125" customWidth="1"/>
    <col min="23" max="23" width="6.5703125" customWidth="1"/>
    <col min="24" max="24" width="12.28515625" customWidth="1"/>
    <col min="25" max="25" width="14.5703125" customWidth="1"/>
    <col min="26" max="27" width="12.28515625" bestFit="1" customWidth="1"/>
    <col min="28" max="28" width="13.5703125" bestFit="1" customWidth="1"/>
    <col min="29" max="29" width="12.28515625" bestFit="1" customWidth="1"/>
    <col min="30" max="30" width="6.5703125" bestFit="1" customWidth="1"/>
    <col min="31" max="31" width="12.28515625" bestFit="1" customWidth="1"/>
    <col min="32" max="32" width="13.5703125" bestFit="1" customWidth="1"/>
    <col min="33" max="34" width="12.28515625" bestFit="1" customWidth="1"/>
    <col min="35" max="35" width="13.5703125" bestFit="1" customWidth="1"/>
    <col min="36" max="36" width="10.42578125" bestFit="1" customWidth="1"/>
    <col min="37" max="37" width="6.5703125" bestFit="1" customWidth="1"/>
    <col min="38" max="38" width="10.42578125" bestFit="1" customWidth="1"/>
    <col min="39" max="41" width="12.28515625" bestFit="1" customWidth="1"/>
    <col min="42" max="42" width="13.5703125" bestFit="1" customWidth="1"/>
    <col min="43" max="43" width="12.28515625" bestFit="1" customWidth="1"/>
    <col min="44" max="44" width="9.42578125" customWidth="1"/>
    <col min="45" max="45" width="12.28515625" bestFit="1" customWidth="1"/>
    <col min="46" max="46" width="13.5703125" bestFit="1" customWidth="1"/>
    <col min="47" max="47" width="12.28515625" bestFit="1" customWidth="1"/>
    <col min="48" max="49" width="13.5703125" bestFit="1" customWidth="1"/>
    <col min="50" max="51" width="9.42578125" customWidth="1"/>
    <col min="52" max="55" width="11.140625" customWidth="1"/>
    <col min="56" max="56" width="16.7109375" customWidth="1"/>
    <col min="57" max="59" width="9.42578125" customWidth="1"/>
    <col min="60" max="60" width="10.42578125" customWidth="1"/>
    <col min="61" max="62" width="9.42578125" customWidth="1"/>
    <col min="63" max="63" width="10.7109375" customWidth="1"/>
    <col min="64" max="66" width="9.42578125" customWidth="1"/>
    <col min="67" max="67" width="10.7109375" customWidth="1"/>
    <col min="68" max="69" width="9.42578125" customWidth="1"/>
    <col min="70" max="70" width="10.140625" customWidth="1"/>
    <col min="71" max="72" width="9.42578125" customWidth="1"/>
    <col min="73" max="77" width="10.140625" customWidth="1"/>
    <col min="78" max="80" width="9.42578125" customWidth="1"/>
    <col min="81" max="81" width="9.85546875" customWidth="1"/>
    <col min="82" max="83" width="9.42578125" customWidth="1"/>
    <col min="84" max="84" width="10.28515625" customWidth="1"/>
    <col min="85" max="98" width="9.42578125" customWidth="1"/>
  </cols>
  <sheetData>
    <row r="1" spans="1:98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>
        <f>U3+AB3+AI3</f>
        <v>95320664.959999993</v>
      </c>
      <c r="R1" s="1"/>
      <c r="S1" s="1"/>
      <c r="T1" s="1"/>
      <c r="U1" s="1"/>
      <c r="V1" s="1"/>
      <c r="W1" s="1"/>
      <c r="X1" s="2">
        <f>AB3+AI3+AP3</f>
        <v>72967139.199999988</v>
      </c>
      <c r="Y1" s="1"/>
      <c r="Z1" s="1"/>
      <c r="AA1" s="1"/>
      <c r="AB1" s="1"/>
      <c r="AC1" s="1"/>
      <c r="AD1" s="1"/>
      <c r="AE1" s="2">
        <f>AI3+AP3+AW3</f>
        <v>90218280.799999982</v>
      </c>
      <c r="AF1" s="1"/>
      <c r="AG1" s="1"/>
      <c r="AH1" s="1"/>
      <c r="AI1" s="1"/>
      <c r="AJ1" s="1"/>
      <c r="AK1" s="1"/>
      <c r="AL1" s="2">
        <f>AP3+AW3+BD3</f>
        <v>83255835.599999994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2">
        <f>BK3+BR3+BY3</f>
        <v>0</v>
      </c>
      <c r="BL1" s="1"/>
      <c r="BM1" s="1"/>
      <c r="BN1" s="1"/>
      <c r="BO1" s="1"/>
      <c r="BP1" s="1"/>
      <c r="BQ1" s="1"/>
      <c r="BR1" s="1"/>
      <c r="BS1" s="2">
        <f>BY3-BR3</f>
        <v>0</v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2"/>
      <c r="CG1" s="2">
        <f>BZ3-CG3</f>
        <v>0</v>
      </c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18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2"/>
      <c r="AY2" s="1"/>
      <c r="AZ2" s="1"/>
      <c r="BA2" s="1"/>
      <c r="BB2" s="1"/>
      <c r="BC2" s="1"/>
      <c r="BD2" s="2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2"/>
      <c r="CG2" s="2">
        <f>CF3-CM3</f>
        <v>0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8" customHeight="1">
      <c r="A3" s="1"/>
      <c r="B3" s="1"/>
      <c r="C3" s="1"/>
      <c r="D3" s="1"/>
      <c r="E3" s="1"/>
      <c r="F3" s="1"/>
      <c r="G3" s="1"/>
      <c r="H3" s="4">
        <f>SUBTOTAL(9,H8:H57)</f>
        <v>8155272</v>
      </c>
      <c r="I3" s="4">
        <f t="shared" ref="I3:BT3" si="0">SUBTOTAL(9,I8:I57)</f>
        <v>4024</v>
      </c>
      <c r="J3" s="4">
        <f t="shared" si="0"/>
        <v>11267200</v>
      </c>
      <c r="K3" s="4">
        <f t="shared" si="0"/>
        <v>79380940.560000017</v>
      </c>
      <c r="L3" s="4">
        <f t="shared" si="0"/>
        <v>40776360</v>
      </c>
      <c r="M3" s="4">
        <f t="shared" si="0"/>
        <v>60360000</v>
      </c>
      <c r="N3" s="5">
        <f t="shared" si="0"/>
        <v>178576500.56</v>
      </c>
      <c r="O3" s="4">
        <f t="shared" si="0"/>
        <v>2210280</v>
      </c>
      <c r="P3" s="4">
        <f t="shared" si="0"/>
        <v>1078</v>
      </c>
      <c r="Q3" s="4">
        <f t="shared" si="0"/>
        <v>3018400</v>
      </c>
      <c r="R3" s="4">
        <f t="shared" si="0"/>
        <v>22855977.359999999</v>
      </c>
      <c r="S3" s="4">
        <f t="shared" si="0"/>
        <v>11051400</v>
      </c>
      <c r="T3" s="4">
        <f t="shared" si="0"/>
        <v>16170000</v>
      </c>
      <c r="U3" s="5">
        <f t="shared" si="0"/>
        <v>51013777.359999999</v>
      </c>
      <c r="V3" s="4">
        <f t="shared" si="0"/>
        <v>687144</v>
      </c>
      <c r="W3" s="4">
        <f t="shared" si="0"/>
        <v>377</v>
      </c>
      <c r="X3" s="4">
        <f t="shared" si="0"/>
        <v>1055600</v>
      </c>
      <c r="Y3" s="4">
        <f t="shared" si="0"/>
        <v>7252206</v>
      </c>
      <c r="Z3" s="4">
        <f t="shared" si="0"/>
        <v>3435720</v>
      </c>
      <c r="AA3" s="4">
        <f t="shared" si="0"/>
        <v>5655000</v>
      </c>
      <c r="AB3" s="5">
        <f t="shared" si="0"/>
        <v>15264526</v>
      </c>
      <c r="AC3" s="4">
        <f t="shared" si="0"/>
        <v>1364832</v>
      </c>
      <c r="AD3" s="4">
        <f t="shared" si="0"/>
        <v>668</v>
      </c>
      <c r="AE3" s="4">
        <f t="shared" si="0"/>
        <v>1870400</v>
      </c>
      <c r="AF3" s="4">
        <f t="shared" si="0"/>
        <v>12462801.600000001</v>
      </c>
      <c r="AG3" s="4">
        <f t="shared" si="0"/>
        <v>6824160</v>
      </c>
      <c r="AH3" s="4">
        <f t="shared" si="0"/>
        <v>10020000</v>
      </c>
      <c r="AI3" s="5">
        <f t="shared" si="0"/>
        <v>29042361.599999998</v>
      </c>
      <c r="AJ3" s="4">
        <f t="shared" si="0"/>
        <v>1329144</v>
      </c>
      <c r="AK3" s="4">
        <f t="shared" si="0"/>
        <v>672</v>
      </c>
      <c r="AL3" s="4">
        <f t="shared" si="0"/>
        <v>1881600</v>
      </c>
      <c r="AM3" s="4">
        <f t="shared" si="0"/>
        <v>12719931.6</v>
      </c>
      <c r="AN3" s="4">
        <f t="shared" si="0"/>
        <v>6645720</v>
      </c>
      <c r="AO3" s="4">
        <f t="shared" si="0"/>
        <v>10080000</v>
      </c>
      <c r="AP3" s="5">
        <f t="shared" si="0"/>
        <v>28660251.599999998</v>
      </c>
      <c r="AQ3" s="4">
        <f t="shared" si="0"/>
        <v>1542552</v>
      </c>
      <c r="AR3" s="4">
        <f t="shared" si="0"/>
        <v>728</v>
      </c>
      <c r="AS3" s="4">
        <f t="shared" si="0"/>
        <v>2038400</v>
      </c>
      <c r="AT3" s="4">
        <f t="shared" si="0"/>
        <v>14295507.599999998</v>
      </c>
      <c r="AU3" s="4">
        <f t="shared" si="0"/>
        <v>7712760</v>
      </c>
      <c r="AV3" s="4">
        <f t="shared" si="0"/>
        <v>10920000</v>
      </c>
      <c r="AW3" s="5">
        <f t="shared" si="0"/>
        <v>32515667.599999994</v>
      </c>
      <c r="AX3" s="4">
        <f t="shared" si="0"/>
        <v>1021320</v>
      </c>
      <c r="AY3" s="4">
        <f t="shared" si="0"/>
        <v>501</v>
      </c>
      <c r="AZ3" s="4">
        <f t="shared" si="0"/>
        <v>1402800</v>
      </c>
      <c r="BA3" s="4">
        <f t="shared" si="0"/>
        <v>9794516.3999999985</v>
      </c>
      <c r="BB3" s="4">
        <f t="shared" si="0"/>
        <v>5106600</v>
      </c>
      <c r="BC3" s="4">
        <f t="shared" si="0"/>
        <v>7515000</v>
      </c>
      <c r="BD3" s="5">
        <f t="shared" si="0"/>
        <v>22079916.399999999</v>
      </c>
      <c r="BE3" s="4">
        <f t="shared" si="0"/>
        <v>0</v>
      </c>
      <c r="BF3" s="4">
        <f t="shared" si="0"/>
        <v>0</v>
      </c>
      <c r="BG3" s="4">
        <f t="shared" si="0"/>
        <v>0</v>
      </c>
      <c r="BH3" s="4">
        <f t="shared" si="0"/>
        <v>0</v>
      </c>
      <c r="BI3" s="4">
        <f t="shared" si="0"/>
        <v>0</v>
      </c>
      <c r="BJ3" s="4">
        <f t="shared" si="0"/>
        <v>0</v>
      </c>
      <c r="BK3" s="5">
        <f t="shared" si="0"/>
        <v>0</v>
      </c>
      <c r="BL3" s="4">
        <f t="shared" si="0"/>
        <v>0</v>
      </c>
      <c r="BM3" s="4">
        <f t="shared" si="0"/>
        <v>0</v>
      </c>
      <c r="BN3" s="4">
        <f t="shared" si="0"/>
        <v>0</v>
      </c>
      <c r="BO3" s="4">
        <f t="shared" si="0"/>
        <v>0</v>
      </c>
      <c r="BP3" s="4">
        <f t="shared" si="0"/>
        <v>0</v>
      </c>
      <c r="BQ3" s="4">
        <f t="shared" si="0"/>
        <v>0</v>
      </c>
      <c r="BR3" s="5">
        <f t="shared" si="0"/>
        <v>0</v>
      </c>
      <c r="BS3" s="4">
        <f t="shared" si="0"/>
        <v>0</v>
      </c>
      <c r="BT3" s="4">
        <f t="shared" si="0"/>
        <v>0</v>
      </c>
      <c r="BU3" s="4">
        <f t="shared" ref="BU3:CT3" si="1">SUBTOTAL(9,BU8:BU57)</f>
        <v>0</v>
      </c>
      <c r="BV3" s="4">
        <f t="shared" si="1"/>
        <v>0</v>
      </c>
      <c r="BW3" s="4">
        <f t="shared" si="1"/>
        <v>0</v>
      </c>
      <c r="BX3" s="4">
        <f t="shared" si="1"/>
        <v>0</v>
      </c>
      <c r="BY3" s="5">
        <f t="shared" si="1"/>
        <v>0</v>
      </c>
      <c r="BZ3" s="4">
        <f t="shared" si="1"/>
        <v>0</v>
      </c>
      <c r="CA3" s="4">
        <f t="shared" si="1"/>
        <v>0</v>
      </c>
      <c r="CB3" s="4">
        <f t="shared" si="1"/>
        <v>0</v>
      </c>
      <c r="CC3" s="4">
        <f t="shared" si="1"/>
        <v>0</v>
      </c>
      <c r="CD3" s="4">
        <f t="shared" si="1"/>
        <v>0</v>
      </c>
      <c r="CE3" s="4">
        <f t="shared" si="1"/>
        <v>0</v>
      </c>
      <c r="CF3" s="5">
        <f t="shared" si="1"/>
        <v>0</v>
      </c>
      <c r="CG3" s="4">
        <f t="shared" si="1"/>
        <v>0</v>
      </c>
      <c r="CH3" s="4">
        <f t="shared" si="1"/>
        <v>0</v>
      </c>
      <c r="CI3" s="4">
        <f t="shared" si="1"/>
        <v>0</v>
      </c>
      <c r="CJ3" s="4">
        <f t="shared" si="1"/>
        <v>0</v>
      </c>
      <c r="CK3" s="4">
        <f t="shared" si="1"/>
        <v>0</v>
      </c>
      <c r="CL3" s="4">
        <f t="shared" si="1"/>
        <v>0</v>
      </c>
      <c r="CM3" s="5">
        <f t="shared" si="1"/>
        <v>0</v>
      </c>
      <c r="CN3" s="4">
        <f t="shared" si="1"/>
        <v>0</v>
      </c>
      <c r="CO3" s="4">
        <f t="shared" si="1"/>
        <v>0</v>
      </c>
      <c r="CP3" s="4">
        <f t="shared" si="1"/>
        <v>0</v>
      </c>
      <c r="CQ3" s="4">
        <f t="shared" si="1"/>
        <v>0</v>
      </c>
      <c r="CR3" s="4">
        <f t="shared" si="1"/>
        <v>0</v>
      </c>
      <c r="CS3" s="4">
        <f t="shared" si="1"/>
        <v>0</v>
      </c>
      <c r="CT3" s="5">
        <f t="shared" si="1"/>
        <v>0</v>
      </c>
    </row>
    <row r="4" spans="1:98" ht="18" customHeight="1">
      <c r="A4" s="1"/>
      <c r="B4" s="99" t="s">
        <v>1</v>
      </c>
      <c r="C4" s="99" t="s">
        <v>2</v>
      </c>
      <c r="D4" s="92" t="s">
        <v>3</v>
      </c>
      <c r="E4" s="93"/>
      <c r="F4" s="93"/>
      <c r="G4" s="94"/>
      <c r="H4" s="106" t="s">
        <v>57</v>
      </c>
      <c r="I4" s="93"/>
      <c r="J4" s="93"/>
      <c r="K4" s="93"/>
      <c r="L4" s="93"/>
      <c r="M4" s="93"/>
      <c r="N4" s="94"/>
      <c r="O4" s="92" t="s">
        <v>46</v>
      </c>
      <c r="P4" s="93"/>
      <c r="Q4" s="93"/>
      <c r="R4" s="93"/>
      <c r="S4" s="93"/>
      <c r="T4" s="93"/>
      <c r="U4" s="94"/>
      <c r="V4" s="92" t="s">
        <v>47</v>
      </c>
      <c r="W4" s="93"/>
      <c r="X4" s="93"/>
      <c r="Y4" s="93"/>
      <c r="Z4" s="93"/>
      <c r="AA4" s="93"/>
      <c r="AB4" s="94"/>
      <c r="AC4" s="92" t="s">
        <v>48</v>
      </c>
      <c r="AD4" s="93"/>
      <c r="AE4" s="93"/>
      <c r="AF4" s="93"/>
      <c r="AG4" s="93"/>
      <c r="AH4" s="93"/>
      <c r="AI4" s="94"/>
      <c r="AJ4" s="92" t="s">
        <v>4</v>
      </c>
      <c r="AK4" s="93"/>
      <c r="AL4" s="93"/>
      <c r="AM4" s="93"/>
      <c r="AN4" s="93"/>
      <c r="AO4" s="93"/>
      <c r="AP4" s="94"/>
      <c r="AQ4" s="92" t="s">
        <v>5</v>
      </c>
      <c r="AR4" s="93"/>
      <c r="AS4" s="93"/>
      <c r="AT4" s="93"/>
      <c r="AU4" s="93"/>
      <c r="AV4" s="93"/>
      <c r="AW4" s="94"/>
      <c r="AX4" s="92" t="s">
        <v>6</v>
      </c>
      <c r="AY4" s="93"/>
      <c r="AZ4" s="93"/>
      <c r="BA4" s="93"/>
      <c r="BB4" s="93"/>
      <c r="BC4" s="93"/>
      <c r="BD4" s="94"/>
      <c r="BE4" s="92" t="s">
        <v>7</v>
      </c>
      <c r="BF4" s="93"/>
      <c r="BG4" s="93"/>
      <c r="BH4" s="93"/>
      <c r="BI4" s="93"/>
      <c r="BJ4" s="93"/>
      <c r="BK4" s="94"/>
      <c r="BL4" s="92" t="s">
        <v>8</v>
      </c>
      <c r="BM4" s="93"/>
      <c r="BN4" s="93"/>
      <c r="BO4" s="93"/>
      <c r="BP4" s="93"/>
      <c r="BQ4" s="93"/>
      <c r="BR4" s="94"/>
      <c r="BS4" s="92" t="s">
        <v>9</v>
      </c>
      <c r="BT4" s="93"/>
      <c r="BU4" s="93"/>
      <c r="BV4" s="93"/>
      <c r="BW4" s="93"/>
      <c r="BX4" s="93"/>
      <c r="BY4" s="94"/>
      <c r="BZ4" s="92" t="s">
        <v>10</v>
      </c>
      <c r="CA4" s="93"/>
      <c r="CB4" s="93"/>
      <c r="CC4" s="93"/>
      <c r="CD4" s="93"/>
      <c r="CE4" s="93"/>
      <c r="CF4" s="94"/>
      <c r="CG4" s="92" t="s">
        <v>11</v>
      </c>
      <c r="CH4" s="93"/>
      <c r="CI4" s="93"/>
      <c r="CJ4" s="93"/>
      <c r="CK4" s="93"/>
      <c r="CL4" s="93"/>
      <c r="CM4" s="94"/>
      <c r="CN4" s="92" t="s">
        <v>12</v>
      </c>
      <c r="CO4" s="93"/>
      <c r="CP4" s="93"/>
      <c r="CQ4" s="93"/>
      <c r="CR4" s="93"/>
      <c r="CS4" s="93"/>
      <c r="CT4" s="94"/>
    </row>
    <row r="5" spans="1:98" ht="18" customHeight="1">
      <c r="A5" s="1"/>
      <c r="B5" s="102"/>
      <c r="C5" s="102"/>
      <c r="D5" s="99" t="s">
        <v>13</v>
      </c>
      <c r="E5" s="99" t="s">
        <v>14</v>
      </c>
      <c r="F5" s="95" t="s">
        <v>15</v>
      </c>
      <c r="G5" s="96"/>
      <c r="H5" s="105" t="s">
        <v>16</v>
      </c>
      <c r="I5" s="96"/>
      <c r="J5" s="106" t="s">
        <v>17</v>
      </c>
      <c r="K5" s="93"/>
      <c r="L5" s="93"/>
      <c r="M5" s="93"/>
      <c r="N5" s="94"/>
      <c r="O5" s="95" t="s">
        <v>16</v>
      </c>
      <c r="P5" s="96"/>
      <c r="Q5" s="92" t="s">
        <v>17</v>
      </c>
      <c r="R5" s="93"/>
      <c r="S5" s="93"/>
      <c r="T5" s="93"/>
      <c r="U5" s="94"/>
      <c r="V5" s="95" t="s">
        <v>16</v>
      </c>
      <c r="W5" s="96"/>
      <c r="X5" s="92" t="s">
        <v>17</v>
      </c>
      <c r="Y5" s="93"/>
      <c r="Z5" s="93"/>
      <c r="AA5" s="93"/>
      <c r="AB5" s="94"/>
      <c r="AC5" s="95" t="s">
        <v>16</v>
      </c>
      <c r="AD5" s="96"/>
      <c r="AE5" s="92" t="s">
        <v>17</v>
      </c>
      <c r="AF5" s="93"/>
      <c r="AG5" s="93"/>
      <c r="AH5" s="93"/>
      <c r="AI5" s="94"/>
      <c r="AJ5" s="95" t="s">
        <v>16</v>
      </c>
      <c r="AK5" s="96"/>
      <c r="AL5" s="92" t="s">
        <v>17</v>
      </c>
      <c r="AM5" s="93"/>
      <c r="AN5" s="93"/>
      <c r="AO5" s="93"/>
      <c r="AP5" s="94"/>
      <c r="AQ5" s="95" t="s">
        <v>16</v>
      </c>
      <c r="AR5" s="96"/>
      <c r="AS5" s="92" t="s">
        <v>17</v>
      </c>
      <c r="AT5" s="93"/>
      <c r="AU5" s="93"/>
      <c r="AV5" s="93"/>
      <c r="AW5" s="94"/>
      <c r="AX5" s="95" t="s">
        <v>16</v>
      </c>
      <c r="AY5" s="96"/>
      <c r="AZ5" s="92" t="s">
        <v>17</v>
      </c>
      <c r="BA5" s="93"/>
      <c r="BB5" s="93"/>
      <c r="BC5" s="93"/>
      <c r="BD5" s="94"/>
      <c r="BE5" s="95" t="s">
        <v>16</v>
      </c>
      <c r="BF5" s="96"/>
      <c r="BG5" s="92" t="s">
        <v>17</v>
      </c>
      <c r="BH5" s="93"/>
      <c r="BI5" s="93"/>
      <c r="BJ5" s="93"/>
      <c r="BK5" s="94"/>
      <c r="BL5" s="95" t="s">
        <v>16</v>
      </c>
      <c r="BM5" s="96"/>
      <c r="BN5" s="92" t="s">
        <v>17</v>
      </c>
      <c r="BO5" s="93"/>
      <c r="BP5" s="93"/>
      <c r="BQ5" s="93"/>
      <c r="BR5" s="94"/>
      <c r="BS5" s="95" t="s">
        <v>16</v>
      </c>
      <c r="BT5" s="96"/>
      <c r="BU5" s="92" t="s">
        <v>17</v>
      </c>
      <c r="BV5" s="93"/>
      <c r="BW5" s="93"/>
      <c r="BX5" s="93"/>
      <c r="BY5" s="94"/>
      <c r="BZ5" s="95" t="s">
        <v>16</v>
      </c>
      <c r="CA5" s="96"/>
      <c r="CB5" s="92" t="s">
        <v>17</v>
      </c>
      <c r="CC5" s="93"/>
      <c r="CD5" s="93"/>
      <c r="CE5" s="93"/>
      <c r="CF5" s="94"/>
      <c r="CG5" s="95" t="s">
        <v>16</v>
      </c>
      <c r="CH5" s="96"/>
      <c r="CI5" s="92" t="s">
        <v>17</v>
      </c>
      <c r="CJ5" s="93"/>
      <c r="CK5" s="93"/>
      <c r="CL5" s="93"/>
      <c r="CM5" s="94"/>
      <c r="CN5" s="95" t="s">
        <v>16</v>
      </c>
      <c r="CO5" s="96"/>
      <c r="CP5" s="92" t="s">
        <v>17</v>
      </c>
      <c r="CQ5" s="93"/>
      <c r="CR5" s="93"/>
      <c r="CS5" s="93"/>
      <c r="CT5" s="94"/>
    </row>
    <row r="6" spans="1:98" ht="18" customHeight="1">
      <c r="A6" s="1"/>
      <c r="B6" s="102"/>
      <c r="C6" s="102"/>
      <c r="D6" s="104"/>
      <c r="E6" s="104"/>
      <c r="F6" s="97"/>
      <c r="G6" s="98"/>
      <c r="H6" s="97"/>
      <c r="I6" s="98"/>
      <c r="J6" s="6" t="s">
        <v>13</v>
      </c>
      <c r="K6" s="6" t="s">
        <v>14</v>
      </c>
      <c r="L6" s="106" t="s">
        <v>15</v>
      </c>
      <c r="M6" s="94"/>
      <c r="N6" s="107" t="s">
        <v>18</v>
      </c>
      <c r="O6" s="97"/>
      <c r="P6" s="98"/>
      <c r="Q6" s="7" t="s">
        <v>13</v>
      </c>
      <c r="R6" s="7" t="s">
        <v>14</v>
      </c>
      <c r="S6" s="92" t="s">
        <v>15</v>
      </c>
      <c r="T6" s="94"/>
      <c r="U6" s="99" t="s">
        <v>18</v>
      </c>
      <c r="V6" s="97"/>
      <c r="W6" s="98"/>
      <c r="X6" s="7" t="s">
        <v>13</v>
      </c>
      <c r="Y6" s="7" t="s">
        <v>14</v>
      </c>
      <c r="Z6" s="92" t="s">
        <v>15</v>
      </c>
      <c r="AA6" s="94"/>
      <c r="AB6" s="99" t="s">
        <v>18</v>
      </c>
      <c r="AC6" s="97"/>
      <c r="AD6" s="98"/>
      <c r="AE6" s="7" t="s">
        <v>13</v>
      </c>
      <c r="AF6" s="7" t="s">
        <v>14</v>
      </c>
      <c r="AG6" s="92" t="s">
        <v>15</v>
      </c>
      <c r="AH6" s="94"/>
      <c r="AI6" s="99" t="s">
        <v>18</v>
      </c>
      <c r="AJ6" s="97"/>
      <c r="AK6" s="98"/>
      <c r="AL6" s="7" t="s">
        <v>13</v>
      </c>
      <c r="AM6" s="7" t="s">
        <v>14</v>
      </c>
      <c r="AN6" s="92" t="s">
        <v>15</v>
      </c>
      <c r="AO6" s="94"/>
      <c r="AP6" s="99" t="s">
        <v>18</v>
      </c>
      <c r="AQ6" s="97"/>
      <c r="AR6" s="98"/>
      <c r="AS6" s="7" t="s">
        <v>13</v>
      </c>
      <c r="AT6" s="7" t="s">
        <v>14</v>
      </c>
      <c r="AU6" s="92" t="s">
        <v>15</v>
      </c>
      <c r="AV6" s="94"/>
      <c r="AW6" s="99" t="s">
        <v>18</v>
      </c>
      <c r="AX6" s="97"/>
      <c r="AY6" s="98"/>
      <c r="AZ6" s="7" t="s">
        <v>13</v>
      </c>
      <c r="BA6" s="7" t="s">
        <v>14</v>
      </c>
      <c r="BB6" s="92" t="s">
        <v>15</v>
      </c>
      <c r="BC6" s="94"/>
      <c r="BD6" s="99" t="s">
        <v>18</v>
      </c>
      <c r="BE6" s="97"/>
      <c r="BF6" s="98"/>
      <c r="BG6" s="7" t="s">
        <v>13</v>
      </c>
      <c r="BH6" s="7" t="s">
        <v>14</v>
      </c>
      <c r="BI6" s="92" t="s">
        <v>15</v>
      </c>
      <c r="BJ6" s="94"/>
      <c r="BK6" s="99" t="s">
        <v>18</v>
      </c>
      <c r="BL6" s="97"/>
      <c r="BM6" s="98"/>
      <c r="BN6" s="7" t="s">
        <v>13</v>
      </c>
      <c r="BO6" s="7" t="s">
        <v>14</v>
      </c>
      <c r="BP6" s="92" t="s">
        <v>15</v>
      </c>
      <c r="BQ6" s="94"/>
      <c r="BR6" s="99" t="s">
        <v>18</v>
      </c>
      <c r="BS6" s="97"/>
      <c r="BT6" s="98"/>
      <c r="BU6" s="7" t="s">
        <v>13</v>
      </c>
      <c r="BV6" s="7" t="s">
        <v>14</v>
      </c>
      <c r="BW6" s="92" t="s">
        <v>15</v>
      </c>
      <c r="BX6" s="94"/>
      <c r="BY6" s="99" t="s">
        <v>18</v>
      </c>
      <c r="BZ6" s="97"/>
      <c r="CA6" s="98"/>
      <c r="CB6" s="7" t="s">
        <v>13</v>
      </c>
      <c r="CC6" s="7" t="s">
        <v>14</v>
      </c>
      <c r="CD6" s="92" t="s">
        <v>15</v>
      </c>
      <c r="CE6" s="94"/>
      <c r="CF6" s="99" t="s">
        <v>18</v>
      </c>
      <c r="CG6" s="97"/>
      <c r="CH6" s="98"/>
      <c r="CI6" s="7" t="s">
        <v>13</v>
      </c>
      <c r="CJ6" s="7" t="s">
        <v>14</v>
      </c>
      <c r="CK6" s="92" t="s">
        <v>15</v>
      </c>
      <c r="CL6" s="94"/>
      <c r="CM6" s="99" t="s">
        <v>18</v>
      </c>
      <c r="CN6" s="97"/>
      <c r="CO6" s="98"/>
      <c r="CP6" s="7" t="s">
        <v>13</v>
      </c>
      <c r="CQ6" s="7" t="s">
        <v>14</v>
      </c>
      <c r="CR6" s="92" t="s">
        <v>15</v>
      </c>
      <c r="CS6" s="94"/>
      <c r="CT6" s="99" t="s">
        <v>18</v>
      </c>
    </row>
    <row r="7" spans="1:98" ht="18" customHeight="1" thickBot="1">
      <c r="A7" s="8"/>
      <c r="B7" s="100"/>
      <c r="C7" s="100"/>
      <c r="D7" s="9" t="s">
        <v>19</v>
      </c>
      <c r="E7" s="9" t="s">
        <v>20</v>
      </c>
      <c r="F7" s="9" t="s">
        <v>21</v>
      </c>
      <c r="G7" s="9" t="s">
        <v>22</v>
      </c>
      <c r="H7" s="10" t="s">
        <v>21</v>
      </c>
      <c r="I7" s="10" t="s">
        <v>22</v>
      </c>
      <c r="J7" s="10" t="s">
        <v>19</v>
      </c>
      <c r="K7" s="10" t="s">
        <v>20</v>
      </c>
      <c r="L7" s="10" t="s">
        <v>21</v>
      </c>
      <c r="M7" s="10" t="s">
        <v>22</v>
      </c>
      <c r="N7" s="100"/>
      <c r="O7" s="9" t="s">
        <v>21</v>
      </c>
      <c r="P7" s="9" t="s">
        <v>22</v>
      </c>
      <c r="Q7" s="9" t="s">
        <v>19</v>
      </c>
      <c r="R7" s="9" t="s">
        <v>20</v>
      </c>
      <c r="S7" s="9" t="s">
        <v>21</v>
      </c>
      <c r="T7" s="9" t="s">
        <v>22</v>
      </c>
      <c r="U7" s="100"/>
      <c r="V7" s="9" t="s">
        <v>21</v>
      </c>
      <c r="W7" s="9" t="s">
        <v>22</v>
      </c>
      <c r="X7" s="9" t="s">
        <v>19</v>
      </c>
      <c r="Y7" s="9" t="s">
        <v>20</v>
      </c>
      <c r="Z7" s="9" t="s">
        <v>21</v>
      </c>
      <c r="AA7" s="9" t="s">
        <v>22</v>
      </c>
      <c r="AB7" s="100"/>
      <c r="AC7" s="9" t="s">
        <v>21</v>
      </c>
      <c r="AD7" s="9" t="s">
        <v>22</v>
      </c>
      <c r="AE7" s="9" t="s">
        <v>19</v>
      </c>
      <c r="AF7" s="9" t="s">
        <v>20</v>
      </c>
      <c r="AG7" s="9" t="s">
        <v>21</v>
      </c>
      <c r="AH7" s="9" t="s">
        <v>22</v>
      </c>
      <c r="AI7" s="100"/>
      <c r="AJ7" s="9" t="s">
        <v>21</v>
      </c>
      <c r="AK7" s="9" t="s">
        <v>22</v>
      </c>
      <c r="AL7" s="9" t="s">
        <v>19</v>
      </c>
      <c r="AM7" s="9" t="s">
        <v>20</v>
      </c>
      <c r="AN7" s="9" t="s">
        <v>21</v>
      </c>
      <c r="AO7" s="9" t="s">
        <v>22</v>
      </c>
      <c r="AP7" s="100"/>
      <c r="AQ7" s="9" t="s">
        <v>21</v>
      </c>
      <c r="AR7" s="9" t="s">
        <v>22</v>
      </c>
      <c r="AS7" s="9" t="s">
        <v>19</v>
      </c>
      <c r="AT7" s="9" t="s">
        <v>20</v>
      </c>
      <c r="AU7" s="9" t="s">
        <v>21</v>
      </c>
      <c r="AV7" s="9" t="s">
        <v>22</v>
      </c>
      <c r="AW7" s="100"/>
      <c r="AX7" s="9" t="s">
        <v>21</v>
      </c>
      <c r="AY7" s="9" t="s">
        <v>22</v>
      </c>
      <c r="AZ7" s="9" t="s">
        <v>19</v>
      </c>
      <c r="BA7" s="9" t="s">
        <v>20</v>
      </c>
      <c r="BB7" s="9" t="s">
        <v>21</v>
      </c>
      <c r="BC7" s="9" t="s">
        <v>22</v>
      </c>
      <c r="BD7" s="100"/>
      <c r="BE7" s="9" t="s">
        <v>21</v>
      </c>
      <c r="BF7" s="9" t="s">
        <v>22</v>
      </c>
      <c r="BG7" s="9" t="s">
        <v>19</v>
      </c>
      <c r="BH7" s="9" t="s">
        <v>20</v>
      </c>
      <c r="BI7" s="9" t="s">
        <v>21</v>
      </c>
      <c r="BJ7" s="9" t="s">
        <v>22</v>
      </c>
      <c r="BK7" s="100"/>
      <c r="BL7" s="9" t="s">
        <v>21</v>
      </c>
      <c r="BM7" s="9" t="s">
        <v>22</v>
      </c>
      <c r="BN7" s="9" t="s">
        <v>19</v>
      </c>
      <c r="BO7" s="9" t="s">
        <v>20</v>
      </c>
      <c r="BP7" s="9" t="s">
        <v>21</v>
      </c>
      <c r="BQ7" s="9" t="s">
        <v>22</v>
      </c>
      <c r="BR7" s="100"/>
      <c r="BS7" s="9" t="s">
        <v>21</v>
      </c>
      <c r="BT7" s="9" t="s">
        <v>22</v>
      </c>
      <c r="BU7" s="9" t="s">
        <v>19</v>
      </c>
      <c r="BV7" s="9" t="s">
        <v>20</v>
      </c>
      <c r="BW7" s="9" t="s">
        <v>21</v>
      </c>
      <c r="BX7" s="9" t="s">
        <v>22</v>
      </c>
      <c r="BY7" s="100"/>
      <c r="BZ7" s="9" t="s">
        <v>21</v>
      </c>
      <c r="CA7" s="9" t="s">
        <v>22</v>
      </c>
      <c r="CB7" s="9" t="s">
        <v>19</v>
      </c>
      <c r="CC7" s="9" t="s">
        <v>20</v>
      </c>
      <c r="CD7" s="9" t="s">
        <v>21</v>
      </c>
      <c r="CE7" s="9" t="s">
        <v>22</v>
      </c>
      <c r="CF7" s="100"/>
      <c r="CG7" s="9" t="s">
        <v>21</v>
      </c>
      <c r="CH7" s="9" t="s">
        <v>22</v>
      </c>
      <c r="CI7" s="9" t="s">
        <v>19</v>
      </c>
      <c r="CJ7" s="9" t="s">
        <v>20</v>
      </c>
      <c r="CK7" s="9" t="s">
        <v>21</v>
      </c>
      <c r="CL7" s="9" t="s">
        <v>22</v>
      </c>
      <c r="CM7" s="100"/>
      <c r="CN7" s="9" t="s">
        <v>21</v>
      </c>
      <c r="CO7" s="9" t="s">
        <v>22</v>
      </c>
      <c r="CP7" s="9" t="s">
        <v>19</v>
      </c>
      <c r="CQ7" s="9" t="s">
        <v>20</v>
      </c>
      <c r="CR7" s="9" t="s">
        <v>21</v>
      </c>
      <c r="CS7" s="9" t="s">
        <v>22</v>
      </c>
      <c r="CT7" s="100"/>
    </row>
    <row r="8" spans="1:98" ht="24.75" customHeight="1" thickTop="1">
      <c r="A8" s="83" t="s">
        <v>117</v>
      </c>
      <c r="B8" s="101" t="s">
        <v>23</v>
      </c>
      <c r="C8" s="11" t="s">
        <v>24</v>
      </c>
      <c r="D8" s="12">
        <f t="shared" ref="D8:D19" si="2">700*4</f>
        <v>2800</v>
      </c>
      <c r="E8" s="13">
        <v>14</v>
      </c>
      <c r="F8" s="14">
        <v>5</v>
      </c>
      <c r="G8" s="15">
        <v>15000</v>
      </c>
      <c r="H8" s="12">
        <f>O8+V8+AC8+AJ8+AQ8+AX8+BE8+BL8+BS8+BZ8+CG8+CN8</f>
        <v>215040</v>
      </c>
      <c r="I8" s="14">
        <f t="shared" ref="I8:N8" si="3">P8+W8+AD8+AK8+AR8+AY8+BF8+BM8+BT8+CA8+CH8+CO8</f>
        <v>128</v>
      </c>
      <c r="J8" s="14">
        <f t="shared" si="3"/>
        <v>358400</v>
      </c>
      <c r="K8" s="14">
        <f t="shared" si="3"/>
        <v>3010560</v>
      </c>
      <c r="L8" s="14">
        <f t="shared" si="3"/>
        <v>1075200</v>
      </c>
      <c r="M8" s="14">
        <f t="shared" si="3"/>
        <v>1920000</v>
      </c>
      <c r="N8" s="15">
        <f t="shared" si="3"/>
        <v>6364160</v>
      </c>
      <c r="O8" s="23">
        <v>215040</v>
      </c>
      <c r="P8" s="17">
        <v>128</v>
      </c>
      <c r="Q8" s="14">
        <f t="shared" ref="Q8:Q49" si="4">P8*$D8</f>
        <v>358400</v>
      </c>
      <c r="R8" s="14">
        <f t="shared" ref="R8:R49" si="5">O8*$E8</f>
        <v>3010560</v>
      </c>
      <c r="S8" s="14">
        <f t="shared" ref="S8:S49" si="6">O8*$F8</f>
        <v>1075200</v>
      </c>
      <c r="T8" s="14">
        <f t="shared" ref="T8:T49" si="7">P8*$G8</f>
        <v>1920000</v>
      </c>
      <c r="U8" s="15">
        <f t="shared" ref="U8:U48" si="8">SUM(Q8:T8)</f>
        <v>6364160</v>
      </c>
      <c r="V8" s="23">
        <f t="shared" ref="V8:V9" si="9">W8*1680</f>
        <v>0</v>
      </c>
      <c r="W8" s="17"/>
      <c r="X8" s="14">
        <f t="shared" ref="X8:X49" si="10">W8*$D8</f>
        <v>0</v>
      </c>
      <c r="Y8" s="14">
        <f t="shared" ref="Y8:Y49" si="11">V8*$E8</f>
        <v>0</v>
      </c>
      <c r="Z8" s="14">
        <f t="shared" ref="Z8:Z49" si="12">V8*$F8</f>
        <v>0</v>
      </c>
      <c r="AA8" s="14">
        <f t="shared" ref="AA8:AA49" si="13">W8*$G8</f>
        <v>0</v>
      </c>
      <c r="AB8" s="15">
        <f t="shared" ref="AB8:AB48" si="14">SUM(X8:AA8)</f>
        <v>0</v>
      </c>
      <c r="AC8" s="23">
        <f t="shared" ref="AC8:AC18" si="15">AD8*1680</f>
        <v>0</v>
      </c>
      <c r="AD8" s="17"/>
      <c r="AE8" s="14">
        <f t="shared" ref="AE8:AE49" si="16">AD8*$D8</f>
        <v>0</v>
      </c>
      <c r="AF8" s="14">
        <f t="shared" ref="AF8:AF49" si="17">AC8*$E8</f>
        <v>0</v>
      </c>
      <c r="AG8" s="14">
        <f t="shared" ref="AG8:AG49" si="18">AC8*$F8</f>
        <v>0</v>
      </c>
      <c r="AH8" s="14">
        <f t="shared" ref="AH8:AH49" si="19">AD8*$G8</f>
        <v>0</v>
      </c>
      <c r="AI8" s="15">
        <f t="shared" ref="AI8:AI40" si="20">SUM(AE8:AH8)</f>
        <v>0</v>
      </c>
      <c r="AJ8" s="23">
        <f t="shared" ref="AJ8:AJ18" si="21">AK8*1680</f>
        <v>0</v>
      </c>
      <c r="AK8" s="17"/>
      <c r="AL8" s="14">
        <f t="shared" ref="AL8:AL40" si="22">AK8*$D8</f>
        <v>0</v>
      </c>
      <c r="AM8" s="14">
        <f t="shared" ref="AM8:AM49" si="23">AJ8*$E8</f>
        <v>0</v>
      </c>
      <c r="AN8" s="14">
        <f t="shared" ref="AN8:AN49" si="24">AJ8*$F8</f>
        <v>0</v>
      </c>
      <c r="AO8" s="14">
        <f t="shared" ref="AO8:AO40" si="25">AK8*$G8</f>
        <v>0</v>
      </c>
      <c r="AP8" s="15">
        <f t="shared" ref="AP8:AP40" si="26">SUM(AL8:AO8)</f>
        <v>0</v>
      </c>
      <c r="AQ8" s="23">
        <f t="shared" ref="AQ8:AQ18" si="27">AR8*1680</f>
        <v>0</v>
      </c>
      <c r="AR8" s="17"/>
      <c r="AS8" s="14">
        <f t="shared" ref="AS8:AS49" si="28">AR8*$D8</f>
        <v>0</v>
      </c>
      <c r="AT8" s="14">
        <f t="shared" ref="AT8:AT49" si="29">AQ8*$E8</f>
        <v>0</v>
      </c>
      <c r="AU8" s="14">
        <f t="shared" ref="AU8:AU49" si="30">AQ8*$F8</f>
        <v>0</v>
      </c>
      <c r="AV8" s="14">
        <f t="shared" ref="AV8:AV49" si="31">AR8*$G8</f>
        <v>0</v>
      </c>
      <c r="AW8" s="15">
        <f t="shared" ref="AW8:AW48" si="32">SUM(AS8:AV8)</f>
        <v>0</v>
      </c>
      <c r="AX8" s="23">
        <f t="shared" ref="AX8:AX18" si="33">AY8*1680</f>
        <v>0</v>
      </c>
      <c r="AY8" s="17"/>
      <c r="AZ8" s="14">
        <f t="shared" ref="AZ8:AZ49" si="34">AY8*$D8</f>
        <v>0</v>
      </c>
      <c r="BA8" s="14">
        <f t="shared" ref="BA8:BA49" si="35">AX8*$E8</f>
        <v>0</v>
      </c>
      <c r="BB8" s="14">
        <f t="shared" ref="BB8:BB49" si="36">AX8*$F8</f>
        <v>0</v>
      </c>
      <c r="BC8" s="14">
        <f t="shared" ref="BC8:BC49" si="37">AY8*$G8</f>
        <v>0</v>
      </c>
      <c r="BD8" s="15">
        <f t="shared" ref="BD8:BD48" si="38">SUM(AZ8:BC8)</f>
        <v>0</v>
      </c>
      <c r="BE8" s="16"/>
      <c r="BF8" s="17"/>
      <c r="BG8" s="14">
        <f t="shared" ref="BG8:BG49" si="39">BF8*$D8</f>
        <v>0</v>
      </c>
      <c r="BH8" s="14">
        <f t="shared" ref="BH8:BH49" si="40">BE8*$E8</f>
        <v>0</v>
      </c>
      <c r="BI8" s="14">
        <f t="shared" ref="BI8:BI49" si="41">BE8*$F8</f>
        <v>0</v>
      </c>
      <c r="BJ8" s="14">
        <f t="shared" ref="BJ8:BJ49" si="42">BF8*$G8</f>
        <v>0</v>
      </c>
      <c r="BK8" s="15">
        <f t="shared" ref="BK8:BK49" si="43">SUM(BG8:BJ8)</f>
        <v>0</v>
      </c>
      <c r="BL8" s="16"/>
      <c r="BM8" s="17"/>
      <c r="BN8" s="14">
        <f t="shared" ref="BN8:BN49" si="44">BM8*$D8</f>
        <v>0</v>
      </c>
      <c r="BO8" s="14">
        <f t="shared" ref="BO8:BO49" si="45">BL8*$E8</f>
        <v>0</v>
      </c>
      <c r="BP8" s="14">
        <f t="shared" ref="BP8:BP49" si="46">BL8*$F8</f>
        <v>0</v>
      </c>
      <c r="BQ8" s="14">
        <f t="shared" ref="BQ8:BQ49" si="47">BM8*$G8</f>
        <v>0</v>
      </c>
      <c r="BR8" s="15">
        <f t="shared" ref="BR8:BR49" si="48">SUM(BN8:BQ8)</f>
        <v>0</v>
      </c>
      <c r="BS8" s="16"/>
      <c r="BT8" s="17"/>
      <c r="BU8" s="14">
        <f t="shared" ref="BU8:BU49" si="49">BT8*$D8</f>
        <v>0</v>
      </c>
      <c r="BV8" s="14">
        <f t="shared" ref="BV8:BV49" si="50">BS8*$E8</f>
        <v>0</v>
      </c>
      <c r="BW8" s="14">
        <f t="shared" ref="BW8:BW49" si="51">BS8*$F8</f>
        <v>0</v>
      </c>
      <c r="BX8" s="14">
        <f t="shared" ref="BX8:BX49" si="52">BT8*$G8</f>
        <v>0</v>
      </c>
      <c r="BY8" s="15">
        <f t="shared" ref="BY8:BY49" si="53">SUM(BU8:BX8)</f>
        <v>0</v>
      </c>
      <c r="BZ8" s="16"/>
      <c r="CA8" s="17"/>
      <c r="CB8" s="14">
        <f t="shared" ref="CB8:CB49" si="54">CA8*$D8</f>
        <v>0</v>
      </c>
      <c r="CC8" s="14">
        <f t="shared" ref="CC8:CC49" si="55">BZ8*$E8</f>
        <v>0</v>
      </c>
      <c r="CD8" s="14">
        <f t="shared" ref="CD8:CD49" si="56">BZ8*$F8</f>
        <v>0</v>
      </c>
      <c r="CE8" s="14">
        <f t="shared" ref="CE8:CE49" si="57">CA8*$G8</f>
        <v>0</v>
      </c>
      <c r="CF8" s="15">
        <f t="shared" ref="CF8:CF49" si="58">SUM(CB8:CE8)</f>
        <v>0</v>
      </c>
      <c r="CG8" s="16"/>
      <c r="CH8" s="17"/>
      <c r="CI8" s="14">
        <f t="shared" ref="CI8:CI49" si="59">CH8*$D8</f>
        <v>0</v>
      </c>
      <c r="CJ8" s="14">
        <f t="shared" ref="CJ8:CJ49" si="60">CG8*$E8</f>
        <v>0</v>
      </c>
      <c r="CK8" s="14">
        <f t="shared" ref="CK8:CK49" si="61">CG8*$F8</f>
        <v>0</v>
      </c>
      <c r="CL8" s="14">
        <f t="shared" ref="CL8:CL49" si="62">CH8*$G8</f>
        <v>0</v>
      </c>
      <c r="CM8" s="15">
        <f t="shared" ref="CM8:CM49" si="63">SUM(CI8:CL8)</f>
        <v>0</v>
      </c>
      <c r="CN8" s="16"/>
      <c r="CO8" s="17"/>
      <c r="CP8" s="14">
        <f t="shared" ref="CP8:CP49" si="64">CO8*$D8</f>
        <v>0</v>
      </c>
      <c r="CQ8" s="14">
        <f t="shared" ref="CQ8:CQ49" si="65">CN8*$E8</f>
        <v>0</v>
      </c>
      <c r="CR8" s="14">
        <f t="shared" ref="CR8:CR49" si="66">CN8*$F8</f>
        <v>0</v>
      </c>
      <c r="CS8" s="14">
        <f t="shared" ref="CS8:CS49" si="67">CO8*$G8</f>
        <v>0</v>
      </c>
      <c r="CT8" s="15">
        <f t="shared" ref="CT8:CT48" si="68">SUM(CP8:CS8)</f>
        <v>0</v>
      </c>
    </row>
    <row r="9" spans="1:98" ht="24.75" customHeight="1">
      <c r="A9" s="83" t="s">
        <v>118</v>
      </c>
      <c r="B9" s="102"/>
      <c r="C9" s="18" t="s">
        <v>26</v>
      </c>
      <c r="D9" s="19">
        <f t="shared" si="2"/>
        <v>2800</v>
      </c>
      <c r="E9" s="20">
        <v>14</v>
      </c>
      <c r="F9" s="21">
        <v>5</v>
      </c>
      <c r="G9" s="22">
        <v>15000</v>
      </c>
      <c r="H9" s="19">
        <f t="shared" ref="H9:H48" si="69">O9+V9+AC9+AJ9+AQ9+AX9+BE9+BL9+BS9+BZ9+CG9+CN9</f>
        <v>0</v>
      </c>
      <c r="I9" s="21">
        <f t="shared" ref="I9:I40" si="70">P9+W9+AD9+AK9+AR9+AY9+BF9+BM9+BT9+CA9+CH9+CO9</f>
        <v>0</v>
      </c>
      <c r="J9" s="21">
        <f t="shared" ref="J9:J48" si="71">Q9+X9+AE9+AL9+AS9+AZ9+BG9+BN9+BU9+CB9+CI9+CP9</f>
        <v>0</v>
      </c>
      <c r="K9" s="21">
        <f t="shared" ref="K9:K48" si="72">R9+Y9+AF9+AM9+AT9+BA9+BH9+BO9+BV9+CC9+CJ9+CQ9</f>
        <v>0</v>
      </c>
      <c r="L9" s="21">
        <f t="shared" ref="L9:L48" si="73">S9+Z9+AG9+AN9+AU9+BB9+BI9+BP9+BW9+CD9+CK9+CR9</f>
        <v>0</v>
      </c>
      <c r="M9" s="21">
        <f t="shared" ref="M9:M48" si="74">T9+AA9+AH9+AO9+AV9+BC9+BJ9+BQ9+BX9+CE9+CL9+CS9</f>
        <v>0</v>
      </c>
      <c r="N9" s="22">
        <f t="shared" ref="N9:N48" si="75">U9+AB9+AI9+AP9+AW9+BD9+BK9+BR9+BY9+CF9+CM9+CT9</f>
        <v>0</v>
      </c>
      <c r="O9" s="23">
        <v>0</v>
      </c>
      <c r="P9" s="24"/>
      <c r="Q9" s="21">
        <f t="shared" si="4"/>
        <v>0</v>
      </c>
      <c r="R9" s="21">
        <f t="shared" si="5"/>
        <v>0</v>
      </c>
      <c r="S9" s="21">
        <f t="shared" si="6"/>
        <v>0</v>
      </c>
      <c r="T9" s="21">
        <f t="shared" si="7"/>
        <v>0</v>
      </c>
      <c r="U9" s="22">
        <f t="shared" si="8"/>
        <v>0</v>
      </c>
      <c r="V9" s="23">
        <f t="shared" si="9"/>
        <v>0</v>
      </c>
      <c r="W9" s="24"/>
      <c r="X9" s="21">
        <f t="shared" si="10"/>
        <v>0</v>
      </c>
      <c r="Y9" s="21">
        <f t="shared" si="11"/>
        <v>0</v>
      </c>
      <c r="Z9" s="21">
        <f t="shared" si="12"/>
        <v>0</v>
      </c>
      <c r="AA9" s="21">
        <f t="shared" si="13"/>
        <v>0</v>
      </c>
      <c r="AB9" s="22">
        <f t="shared" si="14"/>
        <v>0</v>
      </c>
      <c r="AC9" s="23">
        <f t="shared" si="15"/>
        <v>0</v>
      </c>
      <c r="AD9" s="24"/>
      <c r="AE9" s="21">
        <f t="shared" si="16"/>
        <v>0</v>
      </c>
      <c r="AF9" s="21">
        <f t="shared" si="17"/>
        <v>0</v>
      </c>
      <c r="AG9" s="21">
        <f t="shared" si="18"/>
        <v>0</v>
      </c>
      <c r="AH9" s="21">
        <f t="shared" si="19"/>
        <v>0</v>
      </c>
      <c r="AI9" s="22">
        <f t="shared" si="20"/>
        <v>0</v>
      </c>
      <c r="AJ9" s="23">
        <f t="shared" si="21"/>
        <v>0</v>
      </c>
      <c r="AK9" s="24"/>
      <c r="AL9" s="21">
        <f t="shared" si="22"/>
        <v>0</v>
      </c>
      <c r="AM9" s="21">
        <f t="shared" si="23"/>
        <v>0</v>
      </c>
      <c r="AN9" s="21">
        <f t="shared" si="24"/>
        <v>0</v>
      </c>
      <c r="AO9" s="21">
        <f t="shared" si="25"/>
        <v>0</v>
      </c>
      <c r="AP9" s="22">
        <f t="shared" si="26"/>
        <v>0</v>
      </c>
      <c r="AQ9" s="23">
        <f t="shared" si="27"/>
        <v>0</v>
      </c>
      <c r="AR9" s="24"/>
      <c r="AS9" s="21">
        <f t="shared" si="28"/>
        <v>0</v>
      </c>
      <c r="AT9" s="21">
        <f t="shared" si="29"/>
        <v>0</v>
      </c>
      <c r="AU9" s="21">
        <f t="shared" si="30"/>
        <v>0</v>
      </c>
      <c r="AV9" s="21">
        <f t="shared" si="31"/>
        <v>0</v>
      </c>
      <c r="AW9" s="22">
        <f t="shared" si="32"/>
        <v>0</v>
      </c>
      <c r="AX9" s="23">
        <f t="shared" si="33"/>
        <v>0</v>
      </c>
      <c r="AY9" s="24"/>
      <c r="AZ9" s="21">
        <f t="shared" si="34"/>
        <v>0</v>
      </c>
      <c r="BA9" s="21">
        <f t="shared" si="35"/>
        <v>0</v>
      </c>
      <c r="BB9" s="21">
        <f t="shared" si="36"/>
        <v>0</v>
      </c>
      <c r="BC9" s="21">
        <f t="shared" si="37"/>
        <v>0</v>
      </c>
      <c r="BD9" s="22">
        <f t="shared" si="38"/>
        <v>0</v>
      </c>
      <c r="BE9" s="23"/>
      <c r="BF9" s="24"/>
      <c r="BG9" s="21">
        <f t="shared" si="39"/>
        <v>0</v>
      </c>
      <c r="BH9" s="21">
        <f t="shared" si="40"/>
        <v>0</v>
      </c>
      <c r="BI9" s="21">
        <f t="shared" si="41"/>
        <v>0</v>
      </c>
      <c r="BJ9" s="21">
        <f t="shared" si="42"/>
        <v>0</v>
      </c>
      <c r="BK9" s="22">
        <f t="shared" si="43"/>
        <v>0</v>
      </c>
      <c r="BL9" s="23"/>
      <c r="BM9" s="24"/>
      <c r="BN9" s="21">
        <f t="shared" si="44"/>
        <v>0</v>
      </c>
      <c r="BO9" s="21">
        <f t="shared" si="45"/>
        <v>0</v>
      </c>
      <c r="BP9" s="21">
        <f t="shared" si="46"/>
        <v>0</v>
      </c>
      <c r="BQ9" s="21">
        <f t="shared" si="47"/>
        <v>0</v>
      </c>
      <c r="BR9" s="22">
        <f t="shared" si="48"/>
        <v>0</v>
      </c>
      <c r="BS9" s="23"/>
      <c r="BT9" s="24"/>
      <c r="BU9" s="21">
        <f t="shared" si="49"/>
        <v>0</v>
      </c>
      <c r="BV9" s="21">
        <f t="shared" si="50"/>
        <v>0</v>
      </c>
      <c r="BW9" s="21">
        <f t="shared" si="51"/>
        <v>0</v>
      </c>
      <c r="BX9" s="21">
        <f t="shared" si="52"/>
        <v>0</v>
      </c>
      <c r="BY9" s="22">
        <f t="shared" si="53"/>
        <v>0</v>
      </c>
      <c r="BZ9" s="23"/>
      <c r="CA9" s="24"/>
      <c r="CB9" s="21">
        <f t="shared" si="54"/>
        <v>0</v>
      </c>
      <c r="CC9" s="21">
        <f t="shared" si="55"/>
        <v>0</v>
      </c>
      <c r="CD9" s="21">
        <f t="shared" si="56"/>
        <v>0</v>
      </c>
      <c r="CE9" s="21">
        <f t="shared" si="57"/>
        <v>0</v>
      </c>
      <c r="CF9" s="22">
        <f t="shared" si="58"/>
        <v>0</v>
      </c>
      <c r="CG9" s="23"/>
      <c r="CH9" s="24"/>
      <c r="CI9" s="21">
        <f t="shared" si="59"/>
        <v>0</v>
      </c>
      <c r="CJ9" s="21">
        <f t="shared" si="60"/>
        <v>0</v>
      </c>
      <c r="CK9" s="21">
        <f t="shared" si="61"/>
        <v>0</v>
      </c>
      <c r="CL9" s="21">
        <f t="shared" si="62"/>
        <v>0</v>
      </c>
      <c r="CM9" s="22">
        <f t="shared" si="63"/>
        <v>0</v>
      </c>
      <c r="CN9" s="23"/>
      <c r="CO9" s="24"/>
      <c r="CP9" s="21">
        <f t="shared" si="64"/>
        <v>0</v>
      </c>
      <c r="CQ9" s="21">
        <f t="shared" si="65"/>
        <v>0</v>
      </c>
      <c r="CR9" s="21">
        <f t="shared" si="66"/>
        <v>0</v>
      </c>
      <c r="CS9" s="21">
        <f t="shared" si="67"/>
        <v>0</v>
      </c>
      <c r="CT9" s="22">
        <f t="shared" si="68"/>
        <v>0</v>
      </c>
    </row>
    <row r="10" spans="1:98" ht="24.75" customHeight="1">
      <c r="A10" s="83" t="s">
        <v>119</v>
      </c>
      <c r="B10" s="103"/>
      <c r="C10" s="18" t="s">
        <v>28</v>
      </c>
      <c r="D10" s="19">
        <f t="shared" si="2"/>
        <v>2800</v>
      </c>
      <c r="E10" s="20">
        <v>14</v>
      </c>
      <c r="F10" s="21">
        <v>5</v>
      </c>
      <c r="G10" s="22">
        <v>15000</v>
      </c>
      <c r="H10" s="19">
        <f t="shared" ref="H10:H13" si="76">O10+V10+AC10+AJ10+AQ10+AX10+BE10+BL10+BS10+BZ10+CG10+CN10</f>
        <v>25200</v>
      </c>
      <c r="I10" s="21">
        <f t="shared" ref="I10:I13" si="77">P10+W10+AD10+AK10+AR10+AY10+BF10+BM10+BT10+CA10+CH10+CO10</f>
        <v>15</v>
      </c>
      <c r="J10" s="21">
        <f t="shared" ref="J10:J13" si="78">Q10+X10+AE10+AL10+AS10+AZ10+BG10+BN10+BU10+CB10+CI10+CP10</f>
        <v>42000</v>
      </c>
      <c r="K10" s="21">
        <f t="shared" ref="K10:K13" si="79">R10+Y10+AF10+AM10+AT10+BA10+BH10+BO10+BV10+CC10+CJ10+CQ10</f>
        <v>352800</v>
      </c>
      <c r="L10" s="21">
        <f t="shared" ref="L10:L13" si="80">S10+Z10+AG10+AN10+AU10+BB10+BI10+BP10+BW10+CD10+CK10+CR10</f>
        <v>126000</v>
      </c>
      <c r="M10" s="21">
        <f t="shared" ref="M10:M13" si="81">T10+AA10+AH10+AO10+AV10+BC10+BJ10+BQ10+BX10+CE10+CL10+CS10</f>
        <v>225000</v>
      </c>
      <c r="N10" s="22">
        <f t="shared" ref="N10:N13" si="82">U10+AB10+AI10+AP10+AW10+BD10+BK10+BR10+BY10+CF10+CM10+CT10</f>
        <v>745800</v>
      </c>
      <c r="O10" s="23"/>
      <c r="P10" s="24"/>
      <c r="Q10" s="21">
        <f t="shared" ref="Q10:Q13" si="83">P10*$D10</f>
        <v>0</v>
      </c>
      <c r="R10" s="21">
        <f t="shared" ref="R10:R13" si="84">O10*$E10</f>
        <v>0</v>
      </c>
      <c r="S10" s="21">
        <f t="shared" ref="S10:S13" si="85">O10*$F10</f>
        <v>0</v>
      </c>
      <c r="T10" s="21">
        <f t="shared" ref="T10:T13" si="86">P10*$G10</f>
        <v>0</v>
      </c>
      <c r="U10" s="22">
        <f t="shared" ref="U10:U13" si="87">SUM(Q10:T10)</f>
        <v>0</v>
      </c>
      <c r="V10" s="23"/>
      <c r="W10" s="24"/>
      <c r="X10" s="21">
        <f t="shared" ref="X10:X13" si="88">W10*$D10</f>
        <v>0</v>
      </c>
      <c r="Y10" s="21">
        <f t="shared" ref="Y10:Y13" si="89">V10*$E10</f>
        <v>0</v>
      </c>
      <c r="Z10" s="21">
        <f t="shared" ref="Z10:Z13" si="90">V10*$F10</f>
        <v>0</v>
      </c>
      <c r="AA10" s="21">
        <f t="shared" ref="AA10:AA13" si="91">W10*$G10</f>
        <v>0</v>
      </c>
      <c r="AB10" s="22">
        <f t="shared" ref="AB10:AB13" si="92">SUM(X10:AA10)</f>
        <v>0</v>
      </c>
      <c r="AC10" s="23">
        <f t="shared" si="15"/>
        <v>6720</v>
      </c>
      <c r="AD10" s="24">
        <v>4</v>
      </c>
      <c r="AE10" s="21">
        <f t="shared" ref="AE10:AE13" si="93">AD10*$D10</f>
        <v>11200</v>
      </c>
      <c r="AF10" s="21">
        <f t="shared" ref="AF10:AF13" si="94">AC10*$E10</f>
        <v>94080</v>
      </c>
      <c r="AG10" s="21">
        <f t="shared" ref="AG10:AG13" si="95">AC10*$F10</f>
        <v>33600</v>
      </c>
      <c r="AH10" s="21">
        <f t="shared" ref="AH10:AH13" si="96">AD10*$G10</f>
        <v>60000</v>
      </c>
      <c r="AI10" s="22">
        <f t="shared" ref="AI10:AI13" si="97">SUM(AE10:AH10)</f>
        <v>198880</v>
      </c>
      <c r="AJ10" s="23">
        <f t="shared" si="21"/>
        <v>18480</v>
      </c>
      <c r="AK10" s="24">
        <v>11</v>
      </c>
      <c r="AL10" s="21">
        <f t="shared" ref="AL10:AL13" si="98">AK10*$D10</f>
        <v>30800</v>
      </c>
      <c r="AM10" s="21">
        <f t="shared" ref="AM10:AM13" si="99">AJ10*$E10</f>
        <v>258720</v>
      </c>
      <c r="AN10" s="21">
        <f t="shared" ref="AN10:AN13" si="100">AJ10*$F10</f>
        <v>92400</v>
      </c>
      <c r="AO10" s="21">
        <f t="shared" ref="AO10:AO13" si="101">AK10*$G10</f>
        <v>165000</v>
      </c>
      <c r="AP10" s="22">
        <f t="shared" ref="AP10:AP13" si="102">SUM(AL10:AO10)</f>
        <v>546920</v>
      </c>
      <c r="AQ10" s="23">
        <f t="shared" si="27"/>
        <v>0</v>
      </c>
      <c r="AR10" s="24"/>
      <c r="AS10" s="21">
        <f t="shared" ref="AS10:AS13" si="103">AR10*$D10</f>
        <v>0</v>
      </c>
      <c r="AT10" s="21">
        <f t="shared" ref="AT10:AT13" si="104">AQ10*$E10</f>
        <v>0</v>
      </c>
      <c r="AU10" s="21">
        <f t="shared" ref="AU10:AU13" si="105">AQ10*$F10</f>
        <v>0</v>
      </c>
      <c r="AV10" s="21">
        <f t="shared" ref="AV10:AV13" si="106">AR10*$G10</f>
        <v>0</v>
      </c>
      <c r="AW10" s="22">
        <f t="shared" ref="AW10:AW13" si="107">SUM(AS10:AV10)</f>
        <v>0</v>
      </c>
      <c r="AX10" s="23">
        <f t="shared" si="33"/>
        <v>0</v>
      </c>
      <c r="AY10" s="24"/>
      <c r="AZ10" s="21">
        <f t="shared" ref="AZ10:AZ13" si="108">AY10*$D10</f>
        <v>0</v>
      </c>
      <c r="BA10" s="21">
        <f t="shared" ref="BA10:BA13" si="109">AX10*$E10</f>
        <v>0</v>
      </c>
      <c r="BB10" s="21">
        <f t="shared" ref="BB10:BB13" si="110">AX10*$F10</f>
        <v>0</v>
      </c>
      <c r="BC10" s="21">
        <f t="shared" ref="BC10:BC13" si="111">AY10*$G10</f>
        <v>0</v>
      </c>
      <c r="BD10" s="22">
        <f t="shared" ref="BD10:BD13" si="112">SUM(AZ10:BC10)</f>
        <v>0</v>
      </c>
      <c r="BE10" s="23"/>
      <c r="BF10" s="24"/>
      <c r="BG10" s="21">
        <f t="shared" ref="BG10:BG13" si="113">BF10*$D10</f>
        <v>0</v>
      </c>
      <c r="BH10" s="21">
        <f t="shared" ref="BH10:BH13" si="114">BE10*$E10</f>
        <v>0</v>
      </c>
      <c r="BI10" s="21">
        <f t="shared" ref="BI10:BI13" si="115">BE10*$F10</f>
        <v>0</v>
      </c>
      <c r="BJ10" s="21">
        <f t="shared" ref="BJ10:BJ13" si="116">BF10*$G10</f>
        <v>0</v>
      </c>
      <c r="BK10" s="22">
        <f t="shared" ref="BK10:BK13" si="117">SUM(BG10:BJ10)</f>
        <v>0</v>
      </c>
      <c r="BL10" s="23"/>
      <c r="BM10" s="24"/>
      <c r="BN10" s="21">
        <f t="shared" ref="BN10:BN13" si="118">BM10*$D10</f>
        <v>0</v>
      </c>
      <c r="BO10" s="21">
        <f t="shared" ref="BO10:BO13" si="119">BL10*$E10</f>
        <v>0</v>
      </c>
      <c r="BP10" s="21">
        <f t="shared" ref="BP10:BP13" si="120">BL10*$F10</f>
        <v>0</v>
      </c>
      <c r="BQ10" s="21">
        <f t="shared" ref="BQ10:BQ13" si="121">BM10*$G10</f>
        <v>0</v>
      </c>
      <c r="BR10" s="22">
        <f t="shared" ref="BR10:BR13" si="122">SUM(BN10:BQ10)</f>
        <v>0</v>
      </c>
      <c r="BS10" s="23"/>
      <c r="BT10" s="24"/>
      <c r="BU10" s="21">
        <f t="shared" ref="BU10:BU13" si="123">BT10*$D10</f>
        <v>0</v>
      </c>
      <c r="BV10" s="21">
        <f t="shared" ref="BV10:BV13" si="124">BS10*$E10</f>
        <v>0</v>
      </c>
      <c r="BW10" s="21">
        <f t="shared" ref="BW10:BW13" si="125">BS10*$F10</f>
        <v>0</v>
      </c>
      <c r="BX10" s="21">
        <f t="shared" ref="BX10:BX13" si="126">BT10*$G10</f>
        <v>0</v>
      </c>
      <c r="BY10" s="22">
        <f t="shared" ref="BY10:BY13" si="127">SUM(BU10:BX10)</f>
        <v>0</v>
      </c>
      <c r="BZ10" s="23"/>
      <c r="CA10" s="24"/>
      <c r="CB10" s="21">
        <f t="shared" ref="CB10:CB13" si="128">CA10*$D10</f>
        <v>0</v>
      </c>
      <c r="CC10" s="21">
        <f t="shared" ref="CC10:CC13" si="129">BZ10*$E10</f>
        <v>0</v>
      </c>
      <c r="CD10" s="21">
        <f t="shared" ref="CD10:CD13" si="130">BZ10*$F10</f>
        <v>0</v>
      </c>
      <c r="CE10" s="21">
        <f t="shared" ref="CE10:CE13" si="131">CA10*$G10</f>
        <v>0</v>
      </c>
      <c r="CF10" s="22">
        <f t="shared" ref="CF10:CF13" si="132">SUM(CB10:CE10)</f>
        <v>0</v>
      </c>
      <c r="CG10" s="23"/>
      <c r="CH10" s="24"/>
      <c r="CI10" s="21">
        <f t="shared" ref="CI10:CI13" si="133">CH10*$D10</f>
        <v>0</v>
      </c>
      <c r="CJ10" s="21">
        <f t="shared" ref="CJ10:CJ13" si="134">CG10*$E10</f>
        <v>0</v>
      </c>
      <c r="CK10" s="21">
        <f t="shared" ref="CK10:CK13" si="135">CG10*$F10</f>
        <v>0</v>
      </c>
      <c r="CL10" s="21">
        <f t="shared" ref="CL10:CL13" si="136">CH10*$G10</f>
        <v>0</v>
      </c>
      <c r="CM10" s="22">
        <f t="shared" ref="CM10:CM13" si="137">SUM(CI10:CL10)</f>
        <v>0</v>
      </c>
      <c r="CN10" s="23"/>
      <c r="CO10" s="24"/>
      <c r="CP10" s="21">
        <f t="shared" ref="CP10:CP13" si="138">CO10*$D10</f>
        <v>0</v>
      </c>
      <c r="CQ10" s="21">
        <f t="shared" ref="CQ10:CQ13" si="139">CN10*$E10</f>
        <v>0</v>
      </c>
      <c r="CR10" s="21">
        <f t="shared" ref="CR10:CR13" si="140">CN10*$F10</f>
        <v>0</v>
      </c>
      <c r="CS10" s="21">
        <f t="shared" ref="CS10:CS13" si="141">CO10*$G10</f>
        <v>0</v>
      </c>
      <c r="CT10" s="22">
        <f t="shared" ref="CT10:CT13" si="142">SUM(CP10:CS10)</f>
        <v>0</v>
      </c>
    </row>
    <row r="11" spans="1:98" ht="24.75" customHeight="1">
      <c r="A11" s="83" t="s">
        <v>120</v>
      </c>
      <c r="B11" s="103"/>
      <c r="C11" s="18" t="s">
        <v>30</v>
      </c>
      <c r="D11" s="19">
        <f t="shared" si="2"/>
        <v>2800</v>
      </c>
      <c r="E11" s="20">
        <v>14</v>
      </c>
      <c r="F11" s="21">
        <v>5</v>
      </c>
      <c r="G11" s="22">
        <v>15000</v>
      </c>
      <c r="H11" s="19">
        <f t="shared" si="76"/>
        <v>6720</v>
      </c>
      <c r="I11" s="21">
        <f t="shared" si="77"/>
        <v>4</v>
      </c>
      <c r="J11" s="21">
        <f t="shared" si="78"/>
        <v>11200</v>
      </c>
      <c r="K11" s="21">
        <f t="shared" si="79"/>
        <v>94080</v>
      </c>
      <c r="L11" s="21">
        <f t="shared" si="80"/>
        <v>33600</v>
      </c>
      <c r="M11" s="21">
        <f t="shared" si="81"/>
        <v>60000</v>
      </c>
      <c r="N11" s="22">
        <f t="shared" si="82"/>
        <v>198880</v>
      </c>
      <c r="O11" s="23"/>
      <c r="P11" s="24"/>
      <c r="Q11" s="21">
        <f t="shared" si="83"/>
        <v>0</v>
      </c>
      <c r="R11" s="21">
        <f t="shared" si="84"/>
        <v>0</v>
      </c>
      <c r="S11" s="21">
        <f t="shared" si="85"/>
        <v>0</v>
      </c>
      <c r="T11" s="21">
        <f t="shared" si="86"/>
        <v>0</v>
      </c>
      <c r="U11" s="22">
        <f t="shared" si="87"/>
        <v>0</v>
      </c>
      <c r="V11" s="23"/>
      <c r="W11" s="24"/>
      <c r="X11" s="21">
        <f t="shared" si="88"/>
        <v>0</v>
      </c>
      <c r="Y11" s="21">
        <f t="shared" si="89"/>
        <v>0</v>
      </c>
      <c r="Z11" s="21">
        <f t="shared" si="90"/>
        <v>0</v>
      </c>
      <c r="AA11" s="21">
        <f t="shared" si="91"/>
        <v>0</v>
      </c>
      <c r="AB11" s="22">
        <f t="shared" si="92"/>
        <v>0</v>
      </c>
      <c r="AC11" s="23">
        <f t="shared" si="15"/>
        <v>3360</v>
      </c>
      <c r="AD11" s="24">
        <v>2</v>
      </c>
      <c r="AE11" s="21">
        <f t="shared" si="93"/>
        <v>5600</v>
      </c>
      <c r="AF11" s="21">
        <f t="shared" si="94"/>
        <v>47040</v>
      </c>
      <c r="AG11" s="21">
        <f t="shared" si="95"/>
        <v>16800</v>
      </c>
      <c r="AH11" s="21">
        <f t="shared" si="96"/>
        <v>30000</v>
      </c>
      <c r="AI11" s="22">
        <f t="shared" si="97"/>
        <v>99440</v>
      </c>
      <c r="AJ11" s="23">
        <f t="shared" si="21"/>
        <v>3360</v>
      </c>
      <c r="AK11" s="24">
        <v>2</v>
      </c>
      <c r="AL11" s="21">
        <f t="shared" si="98"/>
        <v>5600</v>
      </c>
      <c r="AM11" s="21">
        <f t="shared" si="99"/>
        <v>47040</v>
      </c>
      <c r="AN11" s="21">
        <f t="shared" si="100"/>
        <v>16800</v>
      </c>
      <c r="AO11" s="21">
        <f t="shared" si="101"/>
        <v>30000</v>
      </c>
      <c r="AP11" s="22">
        <f t="shared" si="102"/>
        <v>99440</v>
      </c>
      <c r="AQ11" s="23">
        <f t="shared" si="27"/>
        <v>0</v>
      </c>
      <c r="AR11" s="24"/>
      <c r="AS11" s="21">
        <f t="shared" si="103"/>
        <v>0</v>
      </c>
      <c r="AT11" s="21">
        <f t="shared" si="104"/>
        <v>0</v>
      </c>
      <c r="AU11" s="21">
        <f t="shared" si="105"/>
        <v>0</v>
      </c>
      <c r="AV11" s="21">
        <f t="shared" si="106"/>
        <v>0</v>
      </c>
      <c r="AW11" s="22">
        <f t="shared" si="107"/>
        <v>0</v>
      </c>
      <c r="AX11" s="23">
        <f t="shared" si="33"/>
        <v>0</v>
      </c>
      <c r="AY11" s="24"/>
      <c r="AZ11" s="21">
        <f t="shared" si="108"/>
        <v>0</v>
      </c>
      <c r="BA11" s="21">
        <f t="shared" si="109"/>
        <v>0</v>
      </c>
      <c r="BB11" s="21">
        <f t="shared" si="110"/>
        <v>0</v>
      </c>
      <c r="BC11" s="21">
        <f t="shared" si="111"/>
        <v>0</v>
      </c>
      <c r="BD11" s="22">
        <f t="shared" si="112"/>
        <v>0</v>
      </c>
      <c r="BE11" s="23"/>
      <c r="BF11" s="24"/>
      <c r="BG11" s="21">
        <f t="shared" si="113"/>
        <v>0</v>
      </c>
      <c r="BH11" s="21">
        <f t="shared" si="114"/>
        <v>0</v>
      </c>
      <c r="BI11" s="21">
        <f t="shared" si="115"/>
        <v>0</v>
      </c>
      <c r="BJ11" s="21">
        <f t="shared" si="116"/>
        <v>0</v>
      </c>
      <c r="BK11" s="22">
        <f t="shared" si="117"/>
        <v>0</v>
      </c>
      <c r="BL11" s="23"/>
      <c r="BM11" s="24"/>
      <c r="BN11" s="21">
        <f t="shared" si="118"/>
        <v>0</v>
      </c>
      <c r="BO11" s="21">
        <f t="shared" si="119"/>
        <v>0</v>
      </c>
      <c r="BP11" s="21">
        <f t="shared" si="120"/>
        <v>0</v>
      </c>
      <c r="BQ11" s="21">
        <f t="shared" si="121"/>
        <v>0</v>
      </c>
      <c r="BR11" s="22">
        <f t="shared" si="122"/>
        <v>0</v>
      </c>
      <c r="BS11" s="23"/>
      <c r="BT11" s="24"/>
      <c r="BU11" s="21">
        <f t="shared" si="123"/>
        <v>0</v>
      </c>
      <c r="BV11" s="21">
        <f t="shared" si="124"/>
        <v>0</v>
      </c>
      <c r="BW11" s="21">
        <f t="shared" si="125"/>
        <v>0</v>
      </c>
      <c r="BX11" s="21">
        <f t="shared" si="126"/>
        <v>0</v>
      </c>
      <c r="BY11" s="22">
        <f t="shared" si="127"/>
        <v>0</v>
      </c>
      <c r="BZ11" s="23"/>
      <c r="CA11" s="24"/>
      <c r="CB11" s="21">
        <f t="shared" si="128"/>
        <v>0</v>
      </c>
      <c r="CC11" s="21">
        <f t="shared" si="129"/>
        <v>0</v>
      </c>
      <c r="CD11" s="21">
        <f t="shared" si="130"/>
        <v>0</v>
      </c>
      <c r="CE11" s="21">
        <f t="shared" si="131"/>
        <v>0</v>
      </c>
      <c r="CF11" s="22">
        <f t="shared" si="132"/>
        <v>0</v>
      </c>
      <c r="CG11" s="23"/>
      <c r="CH11" s="24"/>
      <c r="CI11" s="21">
        <f t="shared" si="133"/>
        <v>0</v>
      </c>
      <c r="CJ11" s="21">
        <f t="shared" si="134"/>
        <v>0</v>
      </c>
      <c r="CK11" s="21">
        <f t="shared" si="135"/>
        <v>0</v>
      </c>
      <c r="CL11" s="21">
        <f t="shared" si="136"/>
        <v>0</v>
      </c>
      <c r="CM11" s="22">
        <f t="shared" si="137"/>
        <v>0</v>
      </c>
      <c r="CN11" s="23"/>
      <c r="CO11" s="24"/>
      <c r="CP11" s="21">
        <f t="shared" si="138"/>
        <v>0</v>
      </c>
      <c r="CQ11" s="21">
        <f t="shared" si="139"/>
        <v>0</v>
      </c>
      <c r="CR11" s="21">
        <f t="shared" si="140"/>
        <v>0</v>
      </c>
      <c r="CS11" s="21">
        <f t="shared" si="141"/>
        <v>0</v>
      </c>
      <c r="CT11" s="22">
        <f t="shared" si="142"/>
        <v>0</v>
      </c>
    </row>
    <row r="12" spans="1:98" ht="24.75" customHeight="1">
      <c r="A12" s="83" t="s">
        <v>157</v>
      </c>
      <c r="B12" s="103"/>
      <c r="C12" s="18" t="s">
        <v>31</v>
      </c>
      <c r="D12" s="19">
        <f t="shared" si="2"/>
        <v>2800</v>
      </c>
      <c r="E12" s="20">
        <v>14</v>
      </c>
      <c r="F12" s="21">
        <v>5</v>
      </c>
      <c r="G12" s="22">
        <v>15000</v>
      </c>
      <c r="H12" s="19">
        <f t="shared" si="76"/>
        <v>33600</v>
      </c>
      <c r="I12" s="21">
        <f t="shared" si="77"/>
        <v>20</v>
      </c>
      <c r="J12" s="21">
        <f t="shared" si="78"/>
        <v>56000</v>
      </c>
      <c r="K12" s="21">
        <f t="shared" si="79"/>
        <v>470400</v>
      </c>
      <c r="L12" s="21">
        <f t="shared" si="80"/>
        <v>168000</v>
      </c>
      <c r="M12" s="21">
        <f t="shared" si="81"/>
        <v>300000</v>
      </c>
      <c r="N12" s="22">
        <f t="shared" si="82"/>
        <v>994400</v>
      </c>
      <c r="O12" s="23"/>
      <c r="P12" s="24"/>
      <c r="Q12" s="21">
        <f t="shared" si="83"/>
        <v>0</v>
      </c>
      <c r="R12" s="21">
        <f t="shared" si="84"/>
        <v>0</v>
      </c>
      <c r="S12" s="21">
        <f t="shared" si="85"/>
        <v>0</v>
      </c>
      <c r="T12" s="21">
        <f t="shared" si="86"/>
        <v>0</v>
      </c>
      <c r="U12" s="22">
        <f t="shared" si="87"/>
        <v>0</v>
      </c>
      <c r="V12" s="23">
        <f t="shared" ref="V12:V18" si="143">W12*1680</f>
        <v>16800</v>
      </c>
      <c r="W12" s="24">
        <v>10</v>
      </c>
      <c r="X12" s="21">
        <f t="shared" si="88"/>
        <v>28000</v>
      </c>
      <c r="Y12" s="21">
        <f t="shared" si="89"/>
        <v>235200</v>
      </c>
      <c r="Z12" s="21">
        <f t="shared" si="90"/>
        <v>84000</v>
      </c>
      <c r="AA12" s="21">
        <f t="shared" si="91"/>
        <v>150000</v>
      </c>
      <c r="AB12" s="22">
        <f t="shared" si="92"/>
        <v>497200</v>
      </c>
      <c r="AC12" s="23">
        <f t="shared" si="15"/>
        <v>0</v>
      </c>
      <c r="AD12" s="24"/>
      <c r="AE12" s="21">
        <f t="shared" si="93"/>
        <v>0</v>
      </c>
      <c r="AF12" s="21">
        <f t="shared" si="94"/>
        <v>0</v>
      </c>
      <c r="AG12" s="21">
        <f t="shared" si="95"/>
        <v>0</v>
      </c>
      <c r="AH12" s="21">
        <f t="shared" si="96"/>
        <v>0</v>
      </c>
      <c r="AI12" s="22">
        <f t="shared" si="97"/>
        <v>0</v>
      </c>
      <c r="AJ12" s="23">
        <f t="shared" si="21"/>
        <v>0</v>
      </c>
      <c r="AK12" s="24"/>
      <c r="AL12" s="21">
        <f t="shared" si="98"/>
        <v>0</v>
      </c>
      <c r="AM12" s="21">
        <f t="shared" si="99"/>
        <v>0</v>
      </c>
      <c r="AN12" s="21">
        <f t="shared" si="100"/>
        <v>0</v>
      </c>
      <c r="AO12" s="21">
        <f t="shared" si="101"/>
        <v>0</v>
      </c>
      <c r="AP12" s="22">
        <f t="shared" si="102"/>
        <v>0</v>
      </c>
      <c r="AQ12" s="23">
        <f t="shared" si="27"/>
        <v>0</v>
      </c>
      <c r="AR12" s="24"/>
      <c r="AS12" s="21">
        <f t="shared" si="103"/>
        <v>0</v>
      </c>
      <c r="AT12" s="21">
        <f t="shared" si="104"/>
        <v>0</v>
      </c>
      <c r="AU12" s="21">
        <f t="shared" si="105"/>
        <v>0</v>
      </c>
      <c r="AV12" s="21">
        <f t="shared" si="106"/>
        <v>0</v>
      </c>
      <c r="AW12" s="22">
        <f t="shared" si="107"/>
        <v>0</v>
      </c>
      <c r="AX12" s="23">
        <f t="shared" si="33"/>
        <v>16800</v>
      </c>
      <c r="AY12" s="24">
        <v>10</v>
      </c>
      <c r="AZ12" s="21">
        <f t="shared" si="108"/>
        <v>28000</v>
      </c>
      <c r="BA12" s="21">
        <f t="shared" si="109"/>
        <v>235200</v>
      </c>
      <c r="BB12" s="21">
        <f t="shared" si="110"/>
        <v>84000</v>
      </c>
      <c r="BC12" s="21">
        <f t="shared" si="111"/>
        <v>150000</v>
      </c>
      <c r="BD12" s="22">
        <f t="shared" si="112"/>
        <v>497200</v>
      </c>
      <c r="BE12" s="23"/>
      <c r="BF12" s="24"/>
      <c r="BG12" s="21">
        <f t="shared" si="113"/>
        <v>0</v>
      </c>
      <c r="BH12" s="21">
        <f t="shared" si="114"/>
        <v>0</v>
      </c>
      <c r="BI12" s="21">
        <f t="shared" si="115"/>
        <v>0</v>
      </c>
      <c r="BJ12" s="21">
        <f t="shared" si="116"/>
        <v>0</v>
      </c>
      <c r="BK12" s="22">
        <f t="shared" si="117"/>
        <v>0</v>
      </c>
      <c r="BL12" s="23"/>
      <c r="BM12" s="24"/>
      <c r="BN12" s="21">
        <f t="shared" si="118"/>
        <v>0</v>
      </c>
      <c r="BO12" s="21">
        <f t="shared" si="119"/>
        <v>0</v>
      </c>
      <c r="BP12" s="21">
        <f t="shared" si="120"/>
        <v>0</v>
      </c>
      <c r="BQ12" s="21">
        <f t="shared" si="121"/>
        <v>0</v>
      </c>
      <c r="BR12" s="22">
        <f t="shared" si="122"/>
        <v>0</v>
      </c>
      <c r="BS12" s="23"/>
      <c r="BT12" s="24"/>
      <c r="BU12" s="21">
        <f t="shared" si="123"/>
        <v>0</v>
      </c>
      <c r="BV12" s="21">
        <f t="shared" si="124"/>
        <v>0</v>
      </c>
      <c r="BW12" s="21">
        <f t="shared" si="125"/>
        <v>0</v>
      </c>
      <c r="BX12" s="21">
        <f t="shared" si="126"/>
        <v>0</v>
      </c>
      <c r="BY12" s="22">
        <f t="shared" si="127"/>
        <v>0</v>
      </c>
      <c r="BZ12" s="23"/>
      <c r="CA12" s="24"/>
      <c r="CB12" s="21">
        <f t="shared" si="128"/>
        <v>0</v>
      </c>
      <c r="CC12" s="21">
        <f t="shared" si="129"/>
        <v>0</v>
      </c>
      <c r="CD12" s="21">
        <f t="shared" si="130"/>
        <v>0</v>
      </c>
      <c r="CE12" s="21">
        <f t="shared" si="131"/>
        <v>0</v>
      </c>
      <c r="CF12" s="22">
        <f t="shared" si="132"/>
        <v>0</v>
      </c>
      <c r="CG12" s="23"/>
      <c r="CH12" s="24"/>
      <c r="CI12" s="21">
        <f t="shared" si="133"/>
        <v>0</v>
      </c>
      <c r="CJ12" s="21">
        <f t="shared" si="134"/>
        <v>0</v>
      </c>
      <c r="CK12" s="21">
        <f t="shared" si="135"/>
        <v>0</v>
      </c>
      <c r="CL12" s="21">
        <f t="shared" si="136"/>
        <v>0</v>
      </c>
      <c r="CM12" s="22">
        <f t="shared" si="137"/>
        <v>0</v>
      </c>
      <c r="CN12" s="23"/>
      <c r="CO12" s="24"/>
      <c r="CP12" s="21">
        <f t="shared" si="138"/>
        <v>0</v>
      </c>
      <c r="CQ12" s="21">
        <f t="shared" si="139"/>
        <v>0</v>
      </c>
      <c r="CR12" s="21">
        <f t="shared" si="140"/>
        <v>0</v>
      </c>
      <c r="CS12" s="21">
        <f t="shared" si="141"/>
        <v>0</v>
      </c>
      <c r="CT12" s="22">
        <f t="shared" si="142"/>
        <v>0</v>
      </c>
    </row>
    <row r="13" spans="1:98" ht="24.75" customHeight="1">
      <c r="A13" s="83" t="s">
        <v>121</v>
      </c>
      <c r="B13" s="103"/>
      <c r="C13" s="18" t="s">
        <v>49</v>
      </c>
      <c r="D13" s="19">
        <f t="shared" si="2"/>
        <v>2800</v>
      </c>
      <c r="E13" s="20">
        <v>14</v>
      </c>
      <c r="F13" s="21">
        <v>5</v>
      </c>
      <c r="G13" s="22">
        <v>15000</v>
      </c>
      <c r="H13" s="19">
        <f t="shared" si="76"/>
        <v>11760</v>
      </c>
      <c r="I13" s="21">
        <f t="shared" si="77"/>
        <v>7</v>
      </c>
      <c r="J13" s="21">
        <f t="shared" si="78"/>
        <v>19600</v>
      </c>
      <c r="K13" s="21">
        <f t="shared" si="79"/>
        <v>164640</v>
      </c>
      <c r="L13" s="21">
        <f t="shared" si="80"/>
        <v>58800</v>
      </c>
      <c r="M13" s="21">
        <f t="shared" si="81"/>
        <v>105000</v>
      </c>
      <c r="N13" s="22">
        <f t="shared" si="82"/>
        <v>348040</v>
      </c>
      <c r="O13" s="23">
        <v>11760</v>
      </c>
      <c r="P13" s="24">
        <v>7</v>
      </c>
      <c r="Q13" s="21">
        <f t="shared" si="83"/>
        <v>19600</v>
      </c>
      <c r="R13" s="21">
        <f t="shared" si="84"/>
        <v>164640</v>
      </c>
      <c r="S13" s="21">
        <f t="shared" si="85"/>
        <v>58800</v>
      </c>
      <c r="T13" s="21">
        <f t="shared" si="86"/>
        <v>105000</v>
      </c>
      <c r="U13" s="22">
        <f t="shared" si="87"/>
        <v>348040</v>
      </c>
      <c r="V13" s="23">
        <f t="shared" si="143"/>
        <v>0</v>
      </c>
      <c r="W13" s="24"/>
      <c r="X13" s="21">
        <f t="shared" si="88"/>
        <v>0</v>
      </c>
      <c r="Y13" s="21">
        <f t="shared" si="89"/>
        <v>0</v>
      </c>
      <c r="Z13" s="21">
        <f t="shared" si="90"/>
        <v>0</v>
      </c>
      <c r="AA13" s="21">
        <f t="shared" si="91"/>
        <v>0</v>
      </c>
      <c r="AB13" s="22">
        <f t="shared" si="92"/>
        <v>0</v>
      </c>
      <c r="AC13" s="23">
        <f t="shared" si="15"/>
        <v>0</v>
      </c>
      <c r="AD13" s="24"/>
      <c r="AE13" s="21">
        <f t="shared" si="93"/>
        <v>0</v>
      </c>
      <c r="AF13" s="21">
        <f t="shared" si="94"/>
        <v>0</v>
      </c>
      <c r="AG13" s="21">
        <f t="shared" si="95"/>
        <v>0</v>
      </c>
      <c r="AH13" s="21">
        <f t="shared" si="96"/>
        <v>0</v>
      </c>
      <c r="AI13" s="22">
        <f t="shared" si="97"/>
        <v>0</v>
      </c>
      <c r="AJ13" s="23">
        <f t="shared" si="21"/>
        <v>0</v>
      </c>
      <c r="AK13" s="24"/>
      <c r="AL13" s="21">
        <f t="shared" si="98"/>
        <v>0</v>
      </c>
      <c r="AM13" s="21">
        <f t="shared" si="99"/>
        <v>0</v>
      </c>
      <c r="AN13" s="21">
        <f t="shared" si="100"/>
        <v>0</v>
      </c>
      <c r="AO13" s="21">
        <f t="shared" si="101"/>
        <v>0</v>
      </c>
      <c r="AP13" s="22">
        <f t="shared" si="102"/>
        <v>0</v>
      </c>
      <c r="AQ13" s="23">
        <f t="shared" si="27"/>
        <v>0</v>
      </c>
      <c r="AR13" s="24"/>
      <c r="AS13" s="21">
        <f t="shared" si="103"/>
        <v>0</v>
      </c>
      <c r="AT13" s="21">
        <f t="shared" si="104"/>
        <v>0</v>
      </c>
      <c r="AU13" s="21">
        <f t="shared" si="105"/>
        <v>0</v>
      </c>
      <c r="AV13" s="21">
        <f t="shared" si="106"/>
        <v>0</v>
      </c>
      <c r="AW13" s="22">
        <f t="shared" si="107"/>
        <v>0</v>
      </c>
      <c r="AX13" s="23">
        <f t="shared" si="33"/>
        <v>0</v>
      </c>
      <c r="AY13" s="24"/>
      <c r="AZ13" s="21">
        <f t="shared" si="108"/>
        <v>0</v>
      </c>
      <c r="BA13" s="21">
        <f t="shared" si="109"/>
        <v>0</v>
      </c>
      <c r="BB13" s="21">
        <f t="shared" si="110"/>
        <v>0</v>
      </c>
      <c r="BC13" s="21">
        <f t="shared" si="111"/>
        <v>0</v>
      </c>
      <c r="BD13" s="22">
        <f t="shared" si="112"/>
        <v>0</v>
      </c>
      <c r="BE13" s="23"/>
      <c r="BF13" s="24"/>
      <c r="BG13" s="21">
        <f t="shared" si="113"/>
        <v>0</v>
      </c>
      <c r="BH13" s="21">
        <f t="shared" si="114"/>
        <v>0</v>
      </c>
      <c r="BI13" s="21">
        <f t="shared" si="115"/>
        <v>0</v>
      </c>
      <c r="BJ13" s="21">
        <f t="shared" si="116"/>
        <v>0</v>
      </c>
      <c r="BK13" s="22">
        <f t="shared" si="117"/>
        <v>0</v>
      </c>
      <c r="BL13" s="23"/>
      <c r="BM13" s="24"/>
      <c r="BN13" s="21">
        <f t="shared" si="118"/>
        <v>0</v>
      </c>
      <c r="BO13" s="21">
        <f t="shared" si="119"/>
        <v>0</v>
      </c>
      <c r="BP13" s="21">
        <f t="shared" si="120"/>
        <v>0</v>
      </c>
      <c r="BQ13" s="21">
        <f t="shared" si="121"/>
        <v>0</v>
      </c>
      <c r="BR13" s="22">
        <f t="shared" si="122"/>
        <v>0</v>
      </c>
      <c r="BS13" s="23"/>
      <c r="BT13" s="24"/>
      <c r="BU13" s="21">
        <f t="shared" si="123"/>
        <v>0</v>
      </c>
      <c r="BV13" s="21">
        <f t="shared" si="124"/>
        <v>0</v>
      </c>
      <c r="BW13" s="21">
        <f t="shared" si="125"/>
        <v>0</v>
      </c>
      <c r="BX13" s="21">
        <f t="shared" si="126"/>
        <v>0</v>
      </c>
      <c r="BY13" s="22">
        <f t="shared" si="127"/>
        <v>0</v>
      </c>
      <c r="BZ13" s="23"/>
      <c r="CA13" s="24"/>
      <c r="CB13" s="21">
        <f t="shared" si="128"/>
        <v>0</v>
      </c>
      <c r="CC13" s="21">
        <f t="shared" si="129"/>
        <v>0</v>
      </c>
      <c r="CD13" s="21">
        <f t="shared" si="130"/>
        <v>0</v>
      </c>
      <c r="CE13" s="21">
        <f t="shared" si="131"/>
        <v>0</v>
      </c>
      <c r="CF13" s="22">
        <f t="shared" si="132"/>
        <v>0</v>
      </c>
      <c r="CG13" s="23"/>
      <c r="CH13" s="24"/>
      <c r="CI13" s="21">
        <f t="shared" si="133"/>
        <v>0</v>
      </c>
      <c r="CJ13" s="21">
        <f t="shared" si="134"/>
        <v>0</v>
      </c>
      <c r="CK13" s="21">
        <f t="shared" si="135"/>
        <v>0</v>
      </c>
      <c r="CL13" s="21">
        <f t="shared" si="136"/>
        <v>0</v>
      </c>
      <c r="CM13" s="22">
        <f t="shared" si="137"/>
        <v>0</v>
      </c>
      <c r="CN13" s="23"/>
      <c r="CO13" s="24"/>
      <c r="CP13" s="21">
        <f t="shared" si="138"/>
        <v>0</v>
      </c>
      <c r="CQ13" s="21">
        <f t="shared" si="139"/>
        <v>0</v>
      </c>
      <c r="CR13" s="21">
        <f t="shared" si="140"/>
        <v>0</v>
      </c>
      <c r="CS13" s="21">
        <f t="shared" si="141"/>
        <v>0</v>
      </c>
      <c r="CT13" s="22">
        <f t="shared" si="142"/>
        <v>0</v>
      </c>
    </row>
    <row r="14" spans="1:98" ht="24.75" customHeight="1">
      <c r="A14" s="83" t="s">
        <v>122</v>
      </c>
      <c r="B14" s="103"/>
      <c r="C14" s="18" t="s">
        <v>50</v>
      </c>
      <c r="D14" s="19">
        <f t="shared" si="2"/>
        <v>2800</v>
      </c>
      <c r="E14" s="20">
        <v>14</v>
      </c>
      <c r="F14" s="21">
        <v>5</v>
      </c>
      <c r="G14" s="22">
        <v>15000</v>
      </c>
      <c r="H14" s="19">
        <f t="shared" ref="H14" si="144">O14+V14+AC14+AJ14+AQ14+AX14+BE14+BL14+BS14+BZ14+CG14+CN14</f>
        <v>117600</v>
      </c>
      <c r="I14" s="21">
        <f t="shared" ref="I14" si="145">P14+W14+AD14+AK14+AR14+AY14+BF14+BM14+BT14+CA14+CH14+CO14</f>
        <v>70</v>
      </c>
      <c r="J14" s="21">
        <f t="shared" ref="J14" si="146">Q14+X14+AE14+AL14+AS14+AZ14+BG14+BN14+BU14+CB14+CI14+CP14</f>
        <v>196000</v>
      </c>
      <c r="K14" s="21">
        <f t="shared" ref="K14" si="147">R14+Y14+AF14+AM14+AT14+BA14+BH14+BO14+BV14+CC14+CJ14+CQ14</f>
        <v>1646400</v>
      </c>
      <c r="L14" s="21">
        <f t="shared" ref="L14" si="148">S14+Z14+AG14+AN14+AU14+BB14+BI14+BP14+BW14+CD14+CK14+CR14</f>
        <v>588000</v>
      </c>
      <c r="M14" s="21">
        <f t="shared" ref="M14" si="149">T14+AA14+AH14+AO14+AV14+BC14+BJ14+BQ14+BX14+CE14+CL14+CS14</f>
        <v>1050000</v>
      </c>
      <c r="N14" s="22">
        <f t="shared" ref="N14" si="150">U14+AB14+AI14+AP14+AW14+BD14+BK14+BR14+BY14+CF14+CM14+CT14</f>
        <v>3480400</v>
      </c>
      <c r="O14" s="23">
        <v>117600</v>
      </c>
      <c r="P14" s="24">
        <v>70</v>
      </c>
      <c r="Q14" s="21">
        <f t="shared" ref="Q14" si="151">P14*$D14</f>
        <v>196000</v>
      </c>
      <c r="R14" s="21">
        <f t="shared" ref="R14" si="152">O14*$E14</f>
        <v>1646400</v>
      </c>
      <c r="S14" s="21">
        <f t="shared" ref="S14" si="153">O14*$F14</f>
        <v>588000</v>
      </c>
      <c r="T14" s="21">
        <f t="shared" ref="T14" si="154">P14*$G14</f>
        <v>1050000</v>
      </c>
      <c r="U14" s="22">
        <f t="shared" ref="U14" si="155">SUM(Q14:T14)</f>
        <v>3480400</v>
      </c>
      <c r="V14" s="23">
        <f t="shared" si="143"/>
        <v>0</v>
      </c>
      <c r="W14" s="24"/>
      <c r="X14" s="21">
        <f t="shared" ref="X14" si="156">W14*$D14</f>
        <v>0</v>
      </c>
      <c r="Y14" s="21">
        <f t="shared" ref="Y14" si="157">V14*$E14</f>
        <v>0</v>
      </c>
      <c r="Z14" s="21">
        <f t="shared" ref="Z14" si="158">V14*$F14</f>
        <v>0</v>
      </c>
      <c r="AA14" s="21">
        <f t="shared" ref="AA14" si="159">W14*$G14</f>
        <v>0</v>
      </c>
      <c r="AB14" s="22">
        <f t="shared" ref="AB14" si="160">SUM(X14:AA14)</f>
        <v>0</v>
      </c>
      <c r="AC14" s="23">
        <f t="shared" si="15"/>
        <v>0</v>
      </c>
      <c r="AD14" s="24"/>
      <c r="AE14" s="21">
        <f t="shared" ref="AE14" si="161">AD14*$D14</f>
        <v>0</v>
      </c>
      <c r="AF14" s="21">
        <f t="shared" ref="AF14" si="162">AC14*$E14</f>
        <v>0</v>
      </c>
      <c r="AG14" s="21">
        <f t="shared" ref="AG14" si="163">AC14*$F14</f>
        <v>0</v>
      </c>
      <c r="AH14" s="21">
        <f t="shared" ref="AH14" si="164">AD14*$G14</f>
        <v>0</v>
      </c>
      <c r="AI14" s="22">
        <f t="shared" ref="AI14" si="165">SUM(AE14:AH14)</f>
        <v>0</v>
      </c>
      <c r="AJ14" s="23">
        <f t="shared" si="21"/>
        <v>0</v>
      </c>
      <c r="AK14" s="24"/>
      <c r="AL14" s="21">
        <f t="shared" ref="AL14" si="166">AK14*$D14</f>
        <v>0</v>
      </c>
      <c r="AM14" s="21">
        <f t="shared" ref="AM14" si="167">AJ14*$E14</f>
        <v>0</v>
      </c>
      <c r="AN14" s="21">
        <f t="shared" ref="AN14" si="168">AJ14*$F14</f>
        <v>0</v>
      </c>
      <c r="AO14" s="21">
        <f t="shared" ref="AO14" si="169">AK14*$G14</f>
        <v>0</v>
      </c>
      <c r="AP14" s="22">
        <f t="shared" ref="AP14" si="170">SUM(AL14:AO14)</f>
        <v>0</v>
      </c>
      <c r="AQ14" s="23">
        <f t="shared" si="27"/>
        <v>0</v>
      </c>
      <c r="AR14" s="24"/>
      <c r="AS14" s="21">
        <f t="shared" ref="AS14" si="171">AR14*$D14</f>
        <v>0</v>
      </c>
      <c r="AT14" s="21">
        <f t="shared" ref="AT14" si="172">AQ14*$E14</f>
        <v>0</v>
      </c>
      <c r="AU14" s="21">
        <f t="shared" ref="AU14" si="173">AQ14*$F14</f>
        <v>0</v>
      </c>
      <c r="AV14" s="21">
        <f t="shared" ref="AV14" si="174">AR14*$G14</f>
        <v>0</v>
      </c>
      <c r="AW14" s="22">
        <f t="shared" ref="AW14" si="175">SUM(AS14:AV14)</f>
        <v>0</v>
      </c>
      <c r="AX14" s="23">
        <f t="shared" si="33"/>
        <v>0</v>
      </c>
      <c r="AY14" s="24"/>
      <c r="AZ14" s="21">
        <f t="shared" ref="AZ14" si="176">AY14*$D14</f>
        <v>0</v>
      </c>
      <c r="BA14" s="21">
        <f t="shared" ref="BA14" si="177">AX14*$E14</f>
        <v>0</v>
      </c>
      <c r="BB14" s="21">
        <f t="shared" ref="BB14" si="178">AX14*$F14</f>
        <v>0</v>
      </c>
      <c r="BC14" s="21">
        <f t="shared" ref="BC14" si="179">AY14*$G14</f>
        <v>0</v>
      </c>
      <c r="BD14" s="22">
        <f t="shared" ref="BD14" si="180">SUM(AZ14:BC14)</f>
        <v>0</v>
      </c>
      <c r="BE14" s="23"/>
      <c r="BF14" s="24"/>
      <c r="BG14" s="21">
        <f t="shared" ref="BG14" si="181">BF14*$D14</f>
        <v>0</v>
      </c>
      <c r="BH14" s="21">
        <f t="shared" ref="BH14" si="182">BE14*$E14</f>
        <v>0</v>
      </c>
      <c r="BI14" s="21">
        <f t="shared" ref="BI14" si="183">BE14*$F14</f>
        <v>0</v>
      </c>
      <c r="BJ14" s="21">
        <f t="shared" ref="BJ14" si="184">BF14*$G14</f>
        <v>0</v>
      </c>
      <c r="BK14" s="22">
        <f t="shared" ref="BK14" si="185">SUM(BG14:BJ14)</f>
        <v>0</v>
      </c>
      <c r="BL14" s="23"/>
      <c r="BM14" s="24"/>
      <c r="BN14" s="21">
        <f t="shared" ref="BN14" si="186">BM14*$D14</f>
        <v>0</v>
      </c>
      <c r="BO14" s="21">
        <f t="shared" ref="BO14" si="187">BL14*$E14</f>
        <v>0</v>
      </c>
      <c r="BP14" s="21">
        <f t="shared" ref="BP14" si="188">BL14*$F14</f>
        <v>0</v>
      </c>
      <c r="BQ14" s="21">
        <f t="shared" ref="BQ14" si="189">BM14*$G14</f>
        <v>0</v>
      </c>
      <c r="BR14" s="22">
        <f t="shared" ref="BR14" si="190">SUM(BN14:BQ14)</f>
        <v>0</v>
      </c>
      <c r="BS14" s="23"/>
      <c r="BT14" s="24"/>
      <c r="BU14" s="21">
        <f t="shared" ref="BU14" si="191">BT14*$D14</f>
        <v>0</v>
      </c>
      <c r="BV14" s="21">
        <f t="shared" ref="BV14" si="192">BS14*$E14</f>
        <v>0</v>
      </c>
      <c r="BW14" s="21">
        <f t="shared" ref="BW14" si="193">BS14*$F14</f>
        <v>0</v>
      </c>
      <c r="BX14" s="21">
        <f t="shared" ref="BX14" si="194">BT14*$G14</f>
        <v>0</v>
      </c>
      <c r="BY14" s="22">
        <f t="shared" ref="BY14" si="195">SUM(BU14:BX14)</f>
        <v>0</v>
      </c>
      <c r="BZ14" s="23"/>
      <c r="CA14" s="24"/>
      <c r="CB14" s="21">
        <f t="shared" ref="CB14" si="196">CA14*$D14</f>
        <v>0</v>
      </c>
      <c r="CC14" s="21">
        <f t="shared" ref="CC14" si="197">BZ14*$E14</f>
        <v>0</v>
      </c>
      <c r="CD14" s="21">
        <f t="shared" ref="CD14" si="198">BZ14*$F14</f>
        <v>0</v>
      </c>
      <c r="CE14" s="21">
        <f t="shared" ref="CE14" si="199">CA14*$G14</f>
        <v>0</v>
      </c>
      <c r="CF14" s="22">
        <f t="shared" ref="CF14" si="200">SUM(CB14:CE14)</f>
        <v>0</v>
      </c>
      <c r="CG14" s="23"/>
      <c r="CH14" s="24"/>
      <c r="CI14" s="21">
        <f t="shared" ref="CI14" si="201">CH14*$D14</f>
        <v>0</v>
      </c>
      <c r="CJ14" s="21">
        <f t="shared" ref="CJ14" si="202">CG14*$E14</f>
        <v>0</v>
      </c>
      <c r="CK14" s="21">
        <f t="shared" ref="CK14" si="203">CG14*$F14</f>
        <v>0</v>
      </c>
      <c r="CL14" s="21">
        <f t="shared" ref="CL14" si="204">CH14*$G14</f>
        <v>0</v>
      </c>
      <c r="CM14" s="22">
        <f t="shared" ref="CM14" si="205">SUM(CI14:CL14)</f>
        <v>0</v>
      </c>
      <c r="CN14" s="23"/>
      <c r="CO14" s="24"/>
      <c r="CP14" s="21">
        <f t="shared" ref="CP14" si="206">CO14*$D14</f>
        <v>0</v>
      </c>
      <c r="CQ14" s="21">
        <f t="shared" ref="CQ14" si="207">CN14*$E14</f>
        <v>0</v>
      </c>
      <c r="CR14" s="21">
        <f t="shared" ref="CR14" si="208">CN14*$F14</f>
        <v>0</v>
      </c>
      <c r="CS14" s="21">
        <f t="shared" ref="CS14" si="209">CO14*$G14</f>
        <v>0</v>
      </c>
      <c r="CT14" s="22">
        <f t="shared" ref="CT14" si="210">SUM(CP14:CS14)</f>
        <v>0</v>
      </c>
    </row>
    <row r="15" spans="1:98" ht="24.75" customHeight="1">
      <c r="A15" s="83" t="s">
        <v>123</v>
      </c>
      <c r="B15" s="103"/>
      <c r="C15" s="49" t="s">
        <v>25</v>
      </c>
      <c r="D15" s="19">
        <f t="shared" si="2"/>
        <v>2800</v>
      </c>
      <c r="E15" s="20">
        <v>14</v>
      </c>
      <c r="F15" s="21">
        <v>5</v>
      </c>
      <c r="G15" s="22">
        <v>15000</v>
      </c>
      <c r="H15" s="19">
        <f t="shared" ref="H15" si="211">O15+V15+AC15+AJ15+AQ15+AX15+BE15+BL15+BS15+BZ15+CG15+CN15</f>
        <v>1102080</v>
      </c>
      <c r="I15" s="21">
        <f t="shared" ref="I15" si="212">P15+W15+AD15+AK15+AR15+AY15+BF15+BM15+BT15+CA15+CH15+CO15</f>
        <v>656</v>
      </c>
      <c r="J15" s="21">
        <f t="shared" ref="J15" si="213">Q15+X15+AE15+AL15+AS15+AZ15+BG15+BN15+BU15+CB15+CI15+CP15</f>
        <v>1836800</v>
      </c>
      <c r="K15" s="21">
        <f t="shared" ref="K15" si="214">R15+Y15+AF15+AM15+AT15+BA15+BH15+BO15+BV15+CC15+CJ15+CQ15</f>
        <v>15429120</v>
      </c>
      <c r="L15" s="21">
        <f t="shared" ref="L15" si="215">S15+Z15+AG15+AN15+AU15+BB15+BI15+BP15+BW15+CD15+CK15+CR15</f>
        <v>5510400</v>
      </c>
      <c r="M15" s="21">
        <f t="shared" ref="M15" si="216">T15+AA15+AH15+AO15+AV15+BC15+BJ15+BQ15+BX15+CE15+CL15+CS15</f>
        <v>9840000</v>
      </c>
      <c r="N15" s="22">
        <f t="shared" ref="N15" si="217">U15+AB15+AI15+AP15+AW15+BD15+BK15+BR15+BY15+CF15+CM15+CT15</f>
        <v>32616320</v>
      </c>
      <c r="O15" s="23">
        <v>483840</v>
      </c>
      <c r="P15" s="24">
        <v>288</v>
      </c>
      <c r="Q15" s="21">
        <f t="shared" ref="Q15" si="218">P15*$D15</f>
        <v>806400</v>
      </c>
      <c r="R15" s="21">
        <f t="shared" ref="R15" si="219">O15*$E15</f>
        <v>6773760</v>
      </c>
      <c r="S15" s="21">
        <f t="shared" ref="S15" si="220">O15*$F15</f>
        <v>2419200</v>
      </c>
      <c r="T15" s="21">
        <f t="shared" ref="T15" si="221">P15*$G15</f>
        <v>4320000</v>
      </c>
      <c r="U15" s="22">
        <f t="shared" ref="U15" si="222">SUM(Q15:T15)</f>
        <v>14319360</v>
      </c>
      <c r="V15" s="23">
        <f t="shared" si="143"/>
        <v>53760</v>
      </c>
      <c r="W15" s="24">
        <v>32</v>
      </c>
      <c r="X15" s="21">
        <f t="shared" ref="X15" si="223">W15*$D15</f>
        <v>89600</v>
      </c>
      <c r="Y15" s="21">
        <f t="shared" ref="Y15" si="224">V15*$E15</f>
        <v>752640</v>
      </c>
      <c r="Z15" s="21">
        <f t="shared" ref="Z15" si="225">V15*$F15</f>
        <v>268800</v>
      </c>
      <c r="AA15" s="21">
        <f t="shared" ref="AA15" si="226">W15*$G15</f>
        <v>480000</v>
      </c>
      <c r="AB15" s="22">
        <f t="shared" ref="AB15" si="227">SUM(X15:AA15)</f>
        <v>1591040</v>
      </c>
      <c r="AC15" s="23">
        <f t="shared" si="15"/>
        <v>134400</v>
      </c>
      <c r="AD15" s="24">
        <v>80</v>
      </c>
      <c r="AE15" s="21">
        <f t="shared" ref="AE15" si="228">AD15*$D15</f>
        <v>224000</v>
      </c>
      <c r="AF15" s="21">
        <f t="shared" ref="AF15" si="229">AC15*$E15</f>
        <v>1881600</v>
      </c>
      <c r="AG15" s="21">
        <f t="shared" ref="AG15" si="230">AC15*$F15</f>
        <v>672000</v>
      </c>
      <c r="AH15" s="21">
        <f t="shared" ref="AH15" si="231">AD15*$G15</f>
        <v>1200000</v>
      </c>
      <c r="AI15" s="22">
        <f t="shared" ref="AI15" si="232">SUM(AE15:AH15)</f>
        <v>3977600</v>
      </c>
      <c r="AJ15" s="23">
        <f t="shared" si="21"/>
        <v>134400</v>
      </c>
      <c r="AK15" s="24">
        <v>80</v>
      </c>
      <c r="AL15" s="21">
        <f t="shared" ref="AL15" si="233">AK15*$D15</f>
        <v>224000</v>
      </c>
      <c r="AM15" s="21">
        <f t="shared" ref="AM15" si="234">AJ15*$E15</f>
        <v>1881600</v>
      </c>
      <c r="AN15" s="21">
        <f t="shared" ref="AN15" si="235">AJ15*$F15</f>
        <v>672000</v>
      </c>
      <c r="AO15" s="21">
        <f t="shared" ref="AO15" si="236">AK15*$G15</f>
        <v>1200000</v>
      </c>
      <c r="AP15" s="22">
        <f t="shared" ref="AP15" si="237">SUM(AL15:AO15)</f>
        <v>3977600</v>
      </c>
      <c r="AQ15" s="23">
        <f t="shared" si="27"/>
        <v>215040</v>
      </c>
      <c r="AR15" s="24">
        <v>128</v>
      </c>
      <c r="AS15" s="21">
        <f t="shared" ref="AS15" si="238">AR15*$D15</f>
        <v>358400</v>
      </c>
      <c r="AT15" s="21">
        <f t="shared" ref="AT15" si="239">AQ15*$E15</f>
        <v>3010560</v>
      </c>
      <c r="AU15" s="21">
        <f t="shared" ref="AU15" si="240">AQ15*$F15</f>
        <v>1075200</v>
      </c>
      <c r="AV15" s="21">
        <f t="shared" ref="AV15" si="241">AR15*$G15</f>
        <v>1920000</v>
      </c>
      <c r="AW15" s="22">
        <f t="shared" ref="AW15" si="242">SUM(AS15:AV15)</f>
        <v>6364160</v>
      </c>
      <c r="AX15" s="23">
        <f t="shared" si="33"/>
        <v>80640</v>
      </c>
      <c r="AY15" s="24">
        <v>48</v>
      </c>
      <c r="AZ15" s="21">
        <f t="shared" ref="AZ15" si="243">AY15*$D15</f>
        <v>134400</v>
      </c>
      <c r="BA15" s="21">
        <f t="shared" ref="BA15" si="244">AX15*$E15</f>
        <v>1128960</v>
      </c>
      <c r="BB15" s="21">
        <f t="shared" ref="BB15" si="245">AX15*$F15</f>
        <v>403200</v>
      </c>
      <c r="BC15" s="21">
        <f t="shared" ref="BC15" si="246">AY15*$G15</f>
        <v>720000</v>
      </c>
      <c r="BD15" s="22">
        <f t="shared" ref="BD15" si="247">SUM(AZ15:BC15)</f>
        <v>2386560</v>
      </c>
      <c r="BE15" s="23"/>
      <c r="BF15" s="24"/>
      <c r="BG15" s="21">
        <f t="shared" ref="BG15" si="248">BF15*$D15</f>
        <v>0</v>
      </c>
      <c r="BH15" s="21">
        <f t="shared" ref="BH15" si="249">BE15*$E15</f>
        <v>0</v>
      </c>
      <c r="BI15" s="21">
        <f t="shared" ref="BI15" si="250">BE15*$F15</f>
        <v>0</v>
      </c>
      <c r="BJ15" s="21">
        <f t="shared" ref="BJ15" si="251">BF15*$G15</f>
        <v>0</v>
      </c>
      <c r="BK15" s="22">
        <f t="shared" ref="BK15" si="252">SUM(BG15:BJ15)</f>
        <v>0</v>
      </c>
      <c r="BL15" s="23"/>
      <c r="BM15" s="24"/>
      <c r="BN15" s="21">
        <f t="shared" ref="BN15" si="253">BM15*$D15</f>
        <v>0</v>
      </c>
      <c r="BO15" s="21">
        <f t="shared" ref="BO15" si="254">BL15*$E15</f>
        <v>0</v>
      </c>
      <c r="BP15" s="21">
        <f t="shared" ref="BP15" si="255">BL15*$F15</f>
        <v>0</v>
      </c>
      <c r="BQ15" s="21">
        <f t="shared" ref="BQ15" si="256">BM15*$G15</f>
        <v>0</v>
      </c>
      <c r="BR15" s="22">
        <f t="shared" ref="BR15" si="257">SUM(BN15:BQ15)</f>
        <v>0</v>
      </c>
      <c r="BS15" s="23"/>
      <c r="BT15" s="24"/>
      <c r="BU15" s="21">
        <f t="shared" ref="BU15" si="258">BT15*$D15</f>
        <v>0</v>
      </c>
      <c r="BV15" s="21">
        <f t="shared" ref="BV15" si="259">BS15*$E15</f>
        <v>0</v>
      </c>
      <c r="BW15" s="21">
        <f t="shared" ref="BW15" si="260">BS15*$F15</f>
        <v>0</v>
      </c>
      <c r="BX15" s="21">
        <f t="shared" ref="BX15" si="261">BT15*$G15</f>
        <v>0</v>
      </c>
      <c r="BY15" s="22">
        <f t="shared" ref="BY15" si="262">SUM(BU15:BX15)</f>
        <v>0</v>
      </c>
      <c r="BZ15" s="23"/>
      <c r="CA15" s="24"/>
      <c r="CB15" s="21">
        <f t="shared" ref="CB15" si="263">CA15*$D15</f>
        <v>0</v>
      </c>
      <c r="CC15" s="21">
        <f t="shared" ref="CC15" si="264">BZ15*$E15</f>
        <v>0</v>
      </c>
      <c r="CD15" s="21">
        <f t="shared" ref="CD15" si="265">BZ15*$F15</f>
        <v>0</v>
      </c>
      <c r="CE15" s="21">
        <f t="shared" ref="CE15" si="266">CA15*$G15</f>
        <v>0</v>
      </c>
      <c r="CF15" s="22">
        <f t="shared" ref="CF15" si="267">SUM(CB15:CE15)</f>
        <v>0</v>
      </c>
      <c r="CG15" s="23"/>
      <c r="CH15" s="24"/>
      <c r="CI15" s="21">
        <f t="shared" ref="CI15" si="268">CH15*$D15</f>
        <v>0</v>
      </c>
      <c r="CJ15" s="21">
        <f t="shared" ref="CJ15" si="269">CG15*$E15</f>
        <v>0</v>
      </c>
      <c r="CK15" s="21">
        <f t="shared" ref="CK15" si="270">CG15*$F15</f>
        <v>0</v>
      </c>
      <c r="CL15" s="21">
        <f t="shared" ref="CL15" si="271">CH15*$G15</f>
        <v>0</v>
      </c>
      <c r="CM15" s="22">
        <f t="shared" ref="CM15" si="272">SUM(CI15:CL15)</f>
        <v>0</v>
      </c>
      <c r="CN15" s="23"/>
      <c r="CO15" s="24"/>
      <c r="CP15" s="21">
        <f t="shared" ref="CP15" si="273">CO15*$D15</f>
        <v>0</v>
      </c>
      <c r="CQ15" s="21">
        <f t="shared" ref="CQ15" si="274">CN15*$E15</f>
        <v>0</v>
      </c>
      <c r="CR15" s="21">
        <f t="shared" ref="CR15" si="275">CN15*$F15</f>
        <v>0</v>
      </c>
      <c r="CS15" s="21">
        <f t="shared" ref="CS15" si="276">CO15*$G15</f>
        <v>0</v>
      </c>
      <c r="CT15" s="22">
        <f t="shared" ref="CT15" si="277">SUM(CP15:CS15)</f>
        <v>0</v>
      </c>
    </row>
    <row r="16" spans="1:98" ht="24.75" customHeight="1">
      <c r="A16" s="83" t="s">
        <v>124</v>
      </c>
      <c r="B16" s="102"/>
      <c r="C16" s="49" t="s">
        <v>27</v>
      </c>
      <c r="D16" s="19">
        <f t="shared" si="2"/>
        <v>2800</v>
      </c>
      <c r="E16" s="20">
        <v>14</v>
      </c>
      <c r="F16" s="21">
        <v>5</v>
      </c>
      <c r="G16" s="22">
        <v>15000</v>
      </c>
      <c r="H16" s="19">
        <f t="shared" si="69"/>
        <v>33600</v>
      </c>
      <c r="I16" s="21">
        <f t="shared" si="70"/>
        <v>20</v>
      </c>
      <c r="J16" s="21">
        <f t="shared" si="71"/>
        <v>56000</v>
      </c>
      <c r="K16" s="21">
        <f t="shared" si="72"/>
        <v>470400</v>
      </c>
      <c r="L16" s="21">
        <f t="shared" si="73"/>
        <v>168000</v>
      </c>
      <c r="M16" s="21">
        <f t="shared" si="74"/>
        <v>300000</v>
      </c>
      <c r="N16" s="22">
        <f t="shared" si="75"/>
        <v>994400</v>
      </c>
      <c r="O16" s="23">
        <v>20160</v>
      </c>
      <c r="P16" s="24">
        <v>12</v>
      </c>
      <c r="Q16" s="21">
        <f t="shared" si="4"/>
        <v>33600</v>
      </c>
      <c r="R16" s="21">
        <f t="shared" si="5"/>
        <v>282240</v>
      </c>
      <c r="S16" s="21">
        <f t="shared" si="6"/>
        <v>100800</v>
      </c>
      <c r="T16" s="21">
        <f t="shared" si="7"/>
        <v>180000</v>
      </c>
      <c r="U16" s="22">
        <f t="shared" si="8"/>
        <v>596640</v>
      </c>
      <c r="V16" s="23">
        <f t="shared" si="143"/>
        <v>6720</v>
      </c>
      <c r="W16" s="24">
        <v>4</v>
      </c>
      <c r="X16" s="21">
        <f t="shared" si="10"/>
        <v>11200</v>
      </c>
      <c r="Y16" s="21">
        <f t="shared" si="11"/>
        <v>94080</v>
      </c>
      <c r="Z16" s="21">
        <f t="shared" si="12"/>
        <v>33600</v>
      </c>
      <c r="AA16" s="21">
        <f t="shared" si="13"/>
        <v>60000</v>
      </c>
      <c r="AB16" s="22">
        <f t="shared" si="14"/>
        <v>198880</v>
      </c>
      <c r="AC16" s="23">
        <f t="shared" si="15"/>
        <v>0</v>
      </c>
      <c r="AD16" s="24"/>
      <c r="AE16" s="21">
        <f t="shared" si="16"/>
        <v>0</v>
      </c>
      <c r="AF16" s="21">
        <f t="shared" si="17"/>
        <v>0</v>
      </c>
      <c r="AG16" s="21">
        <f t="shared" si="18"/>
        <v>0</v>
      </c>
      <c r="AH16" s="21">
        <f t="shared" si="19"/>
        <v>0</v>
      </c>
      <c r="AI16" s="22">
        <f t="shared" si="20"/>
        <v>0</v>
      </c>
      <c r="AJ16" s="23">
        <f t="shared" si="21"/>
        <v>6720</v>
      </c>
      <c r="AK16" s="24">
        <v>4</v>
      </c>
      <c r="AL16" s="21">
        <f t="shared" si="22"/>
        <v>11200</v>
      </c>
      <c r="AM16" s="21">
        <f t="shared" si="23"/>
        <v>94080</v>
      </c>
      <c r="AN16" s="21">
        <f t="shared" si="24"/>
        <v>33600</v>
      </c>
      <c r="AO16" s="21">
        <f t="shared" si="25"/>
        <v>60000</v>
      </c>
      <c r="AP16" s="22">
        <f t="shared" si="26"/>
        <v>198880</v>
      </c>
      <c r="AQ16" s="23">
        <f t="shared" si="27"/>
        <v>0</v>
      </c>
      <c r="AR16" s="24"/>
      <c r="AS16" s="21">
        <f t="shared" si="28"/>
        <v>0</v>
      </c>
      <c r="AT16" s="21">
        <f t="shared" si="29"/>
        <v>0</v>
      </c>
      <c r="AU16" s="21">
        <f t="shared" si="30"/>
        <v>0</v>
      </c>
      <c r="AV16" s="21">
        <f t="shared" si="31"/>
        <v>0</v>
      </c>
      <c r="AW16" s="22">
        <f t="shared" si="32"/>
        <v>0</v>
      </c>
      <c r="AX16" s="23">
        <f t="shared" si="33"/>
        <v>0</v>
      </c>
      <c r="AY16" s="24"/>
      <c r="AZ16" s="21">
        <f t="shared" si="34"/>
        <v>0</v>
      </c>
      <c r="BA16" s="21">
        <f t="shared" si="35"/>
        <v>0</v>
      </c>
      <c r="BB16" s="21">
        <f t="shared" si="36"/>
        <v>0</v>
      </c>
      <c r="BC16" s="21">
        <f t="shared" si="37"/>
        <v>0</v>
      </c>
      <c r="BD16" s="22">
        <f t="shared" si="38"/>
        <v>0</v>
      </c>
      <c r="BE16" s="23"/>
      <c r="BF16" s="24"/>
      <c r="BG16" s="21">
        <f t="shared" si="39"/>
        <v>0</v>
      </c>
      <c r="BH16" s="21">
        <f t="shared" si="40"/>
        <v>0</v>
      </c>
      <c r="BI16" s="21">
        <f t="shared" si="41"/>
        <v>0</v>
      </c>
      <c r="BJ16" s="21">
        <f t="shared" si="42"/>
        <v>0</v>
      </c>
      <c r="BK16" s="22">
        <f t="shared" si="43"/>
        <v>0</v>
      </c>
      <c r="BL16" s="23"/>
      <c r="BM16" s="24"/>
      <c r="BN16" s="21">
        <f t="shared" si="44"/>
        <v>0</v>
      </c>
      <c r="BO16" s="21">
        <f t="shared" si="45"/>
        <v>0</v>
      </c>
      <c r="BP16" s="21">
        <f t="shared" si="46"/>
        <v>0</v>
      </c>
      <c r="BQ16" s="21">
        <f t="shared" si="47"/>
        <v>0</v>
      </c>
      <c r="BR16" s="22">
        <f t="shared" si="48"/>
        <v>0</v>
      </c>
      <c r="BS16" s="23"/>
      <c r="BT16" s="24"/>
      <c r="BU16" s="21">
        <f t="shared" si="49"/>
        <v>0</v>
      </c>
      <c r="BV16" s="21">
        <f t="shared" si="50"/>
        <v>0</v>
      </c>
      <c r="BW16" s="21">
        <f t="shared" si="51"/>
        <v>0</v>
      </c>
      <c r="BX16" s="21">
        <f t="shared" si="52"/>
        <v>0</v>
      </c>
      <c r="BY16" s="22">
        <f t="shared" si="53"/>
        <v>0</v>
      </c>
      <c r="BZ16" s="23"/>
      <c r="CA16" s="24"/>
      <c r="CB16" s="21">
        <f t="shared" si="54"/>
        <v>0</v>
      </c>
      <c r="CC16" s="21">
        <f t="shared" si="55"/>
        <v>0</v>
      </c>
      <c r="CD16" s="21">
        <f t="shared" si="56"/>
        <v>0</v>
      </c>
      <c r="CE16" s="21">
        <f t="shared" si="57"/>
        <v>0</v>
      </c>
      <c r="CF16" s="22">
        <f t="shared" si="58"/>
        <v>0</v>
      </c>
      <c r="CG16" s="23"/>
      <c r="CH16" s="24"/>
      <c r="CI16" s="21">
        <f t="shared" si="59"/>
        <v>0</v>
      </c>
      <c r="CJ16" s="21">
        <f t="shared" si="60"/>
        <v>0</v>
      </c>
      <c r="CK16" s="21">
        <f t="shared" si="61"/>
        <v>0</v>
      </c>
      <c r="CL16" s="21">
        <f t="shared" si="62"/>
        <v>0</v>
      </c>
      <c r="CM16" s="22">
        <f t="shared" si="63"/>
        <v>0</v>
      </c>
      <c r="CN16" s="23"/>
      <c r="CO16" s="24"/>
      <c r="CP16" s="21">
        <f t="shared" si="64"/>
        <v>0</v>
      </c>
      <c r="CQ16" s="21">
        <f t="shared" si="65"/>
        <v>0</v>
      </c>
      <c r="CR16" s="21">
        <f t="shared" si="66"/>
        <v>0</v>
      </c>
      <c r="CS16" s="21">
        <f t="shared" si="67"/>
        <v>0</v>
      </c>
      <c r="CT16" s="22">
        <f t="shared" si="68"/>
        <v>0</v>
      </c>
    </row>
    <row r="17" spans="1:98" ht="24.75" customHeight="1">
      <c r="A17" s="83" t="s">
        <v>125</v>
      </c>
      <c r="B17" s="103"/>
      <c r="C17" s="49" t="s">
        <v>29</v>
      </c>
      <c r="D17" s="19">
        <f t="shared" si="2"/>
        <v>2800</v>
      </c>
      <c r="E17" s="20">
        <v>14</v>
      </c>
      <c r="F17" s="21">
        <v>5</v>
      </c>
      <c r="G17" s="22">
        <v>15000</v>
      </c>
      <c r="H17" s="19">
        <f t="shared" ref="H17:H18" si="278">O17+V17+AC17+AJ17+AQ17+AX17+BE17+BL17+BS17+BZ17+CG17+CN17</f>
        <v>47040</v>
      </c>
      <c r="I17" s="21">
        <f t="shared" ref="I17:I18" si="279">P17+W17+AD17+AK17+AR17+AY17+BF17+BM17+BT17+CA17+CH17+CO17</f>
        <v>28</v>
      </c>
      <c r="J17" s="21">
        <f t="shared" ref="J17:J18" si="280">Q17+X17+AE17+AL17+AS17+AZ17+BG17+BN17+BU17+CB17+CI17+CP17</f>
        <v>78400</v>
      </c>
      <c r="K17" s="21">
        <f t="shared" ref="K17:K18" si="281">R17+Y17+AF17+AM17+AT17+BA17+BH17+BO17+BV17+CC17+CJ17+CQ17</f>
        <v>658560</v>
      </c>
      <c r="L17" s="21">
        <f t="shared" ref="L17:L18" si="282">S17+Z17+AG17+AN17+AU17+BB17+BI17+BP17+BW17+CD17+CK17+CR17</f>
        <v>235200</v>
      </c>
      <c r="M17" s="21">
        <f t="shared" ref="M17:M18" si="283">T17+AA17+AH17+AO17+AV17+BC17+BJ17+BQ17+BX17+CE17+CL17+CS17</f>
        <v>420000</v>
      </c>
      <c r="N17" s="22">
        <f t="shared" ref="N17:N18" si="284">U17+AB17+AI17+AP17+AW17+BD17+BK17+BR17+BY17+CF17+CM17+CT17</f>
        <v>1392160</v>
      </c>
      <c r="O17" s="23">
        <v>30240</v>
      </c>
      <c r="P17" s="24">
        <v>18</v>
      </c>
      <c r="Q17" s="21">
        <f t="shared" ref="Q17:Q18" si="285">P17*$D17</f>
        <v>50400</v>
      </c>
      <c r="R17" s="21">
        <f t="shared" ref="R17:R18" si="286">O17*$E17</f>
        <v>423360</v>
      </c>
      <c r="S17" s="21">
        <f t="shared" ref="S17:S18" si="287">O17*$F17</f>
        <v>151200</v>
      </c>
      <c r="T17" s="21">
        <f t="shared" ref="T17:T18" si="288">P17*$G17</f>
        <v>270000</v>
      </c>
      <c r="U17" s="22">
        <f t="shared" ref="U17:U18" si="289">SUM(Q17:T17)</f>
        <v>894960</v>
      </c>
      <c r="V17" s="23">
        <f t="shared" si="143"/>
        <v>16800</v>
      </c>
      <c r="W17" s="24">
        <v>10</v>
      </c>
      <c r="X17" s="21">
        <f t="shared" ref="X17:X18" si="290">W17*$D17</f>
        <v>28000</v>
      </c>
      <c r="Y17" s="21">
        <f t="shared" ref="Y17:Y18" si="291">V17*$E17</f>
        <v>235200</v>
      </c>
      <c r="Z17" s="21">
        <f t="shared" ref="Z17:Z18" si="292">V17*$F17</f>
        <v>84000</v>
      </c>
      <c r="AA17" s="21">
        <f t="shared" ref="AA17:AA18" si="293">W17*$G17</f>
        <v>150000</v>
      </c>
      <c r="AB17" s="22">
        <f t="shared" ref="AB17:AB18" si="294">SUM(X17:AA17)</f>
        <v>497200</v>
      </c>
      <c r="AC17" s="23">
        <f t="shared" si="15"/>
        <v>0</v>
      </c>
      <c r="AD17" s="24"/>
      <c r="AE17" s="21">
        <f t="shared" ref="AE17:AE18" si="295">AD17*$D17</f>
        <v>0</v>
      </c>
      <c r="AF17" s="21">
        <f t="shared" ref="AF17:AF18" si="296">AC17*$E17</f>
        <v>0</v>
      </c>
      <c r="AG17" s="21">
        <f t="shared" ref="AG17:AG18" si="297">AC17*$F17</f>
        <v>0</v>
      </c>
      <c r="AH17" s="21">
        <f t="shared" ref="AH17:AH18" si="298">AD17*$G17</f>
        <v>0</v>
      </c>
      <c r="AI17" s="22">
        <f t="shared" ref="AI17:AI18" si="299">SUM(AE17:AH17)</f>
        <v>0</v>
      </c>
      <c r="AJ17" s="23">
        <f t="shared" si="21"/>
        <v>0</v>
      </c>
      <c r="AK17" s="24"/>
      <c r="AL17" s="21">
        <f t="shared" ref="AL17:AL18" si="300">AK17*$D17</f>
        <v>0</v>
      </c>
      <c r="AM17" s="21">
        <f t="shared" ref="AM17:AM18" si="301">AJ17*$E17</f>
        <v>0</v>
      </c>
      <c r="AN17" s="21">
        <f t="shared" ref="AN17:AN18" si="302">AJ17*$F17</f>
        <v>0</v>
      </c>
      <c r="AO17" s="21">
        <f t="shared" ref="AO17:AO18" si="303">AK17*$G17</f>
        <v>0</v>
      </c>
      <c r="AP17" s="22">
        <f t="shared" ref="AP17:AP18" si="304">SUM(AL17:AO17)</f>
        <v>0</v>
      </c>
      <c r="AQ17" s="23">
        <f t="shared" si="27"/>
        <v>0</v>
      </c>
      <c r="AR17" s="24"/>
      <c r="AS17" s="21">
        <f t="shared" ref="AS17:AS18" si="305">AR17*$D17</f>
        <v>0</v>
      </c>
      <c r="AT17" s="21">
        <f t="shared" ref="AT17:AT18" si="306">AQ17*$E17</f>
        <v>0</v>
      </c>
      <c r="AU17" s="21">
        <f t="shared" ref="AU17:AU18" si="307">AQ17*$F17</f>
        <v>0</v>
      </c>
      <c r="AV17" s="21">
        <f t="shared" ref="AV17:AV18" si="308">AR17*$G17</f>
        <v>0</v>
      </c>
      <c r="AW17" s="22">
        <f t="shared" ref="AW17:AW18" si="309">SUM(AS17:AV17)</f>
        <v>0</v>
      </c>
      <c r="AX17" s="23">
        <f t="shared" si="33"/>
        <v>0</v>
      </c>
      <c r="AY17" s="24"/>
      <c r="AZ17" s="21">
        <f t="shared" ref="AZ17:AZ18" si="310">AY17*$D17</f>
        <v>0</v>
      </c>
      <c r="BA17" s="21">
        <f t="shared" ref="BA17:BA18" si="311">AX17*$E17</f>
        <v>0</v>
      </c>
      <c r="BB17" s="21">
        <f t="shared" ref="BB17:BB18" si="312">AX17*$F17</f>
        <v>0</v>
      </c>
      <c r="BC17" s="21">
        <f t="shared" ref="BC17:BC18" si="313">AY17*$G17</f>
        <v>0</v>
      </c>
      <c r="BD17" s="22">
        <f t="shared" ref="BD17:BD18" si="314">SUM(AZ17:BC17)</f>
        <v>0</v>
      </c>
      <c r="BE17" s="23"/>
      <c r="BF17" s="24"/>
      <c r="BG17" s="21">
        <f t="shared" ref="BG17:BG18" si="315">BF17*$D17</f>
        <v>0</v>
      </c>
      <c r="BH17" s="21">
        <f t="shared" ref="BH17:BH18" si="316">BE17*$E17</f>
        <v>0</v>
      </c>
      <c r="BI17" s="21">
        <f t="shared" ref="BI17:BI18" si="317">BE17*$F17</f>
        <v>0</v>
      </c>
      <c r="BJ17" s="21">
        <f t="shared" ref="BJ17:BJ18" si="318">BF17*$G17</f>
        <v>0</v>
      </c>
      <c r="BK17" s="22">
        <f t="shared" ref="BK17:BK18" si="319">SUM(BG17:BJ17)</f>
        <v>0</v>
      </c>
      <c r="BL17" s="23"/>
      <c r="BM17" s="24"/>
      <c r="BN17" s="21">
        <f t="shared" ref="BN17:BN18" si="320">BM17*$D17</f>
        <v>0</v>
      </c>
      <c r="BO17" s="21">
        <f t="shared" ref="BO17:BO18" si="321">BL17*$E17</f>
        <v>0</v>
      </c>
      <c r="BP17" s="21">
        <f t="shared" ref="BP17:BP18" si="322">BL17*$F17</f>
        <v>0</v>
      </c>
      <c r="BQ17" s="21">
        <f t="shared" ref="BQ17:BQ18" si="323">BM17*$G17</f>
        <v>0</v>
      </c>
      <c r="BR17" s="22">
        <f t="shared" ref="BR17:BR18" si="324">SUM(BN17:BQ17)</f>
        <v>0</v>
      </c>
      <c r="BS17" s="23"/>
      <c r="BT17" s="24"/>
      <c r="BU17" s="21">
        <f t="shared" ref="BU17:BU18" si="325">BT17*$D17</f>
        <v>0</v>
      </c>
      <c r="BV17" s="21">
        <f t="shared" ref="BV17:BV18" si="326">BS17*$E17</f>
        <v>0</v>
      </c>
      <c r="BW17" s="21">
        <f t="shared" ref="BW17:BW18" si="327">BS17*$F17</f>
        <v>0</v>
      </c>
      <c r="BX17" s="21">
        <f t="shared" ref="BX17:BX18" si="328">BT17*$G17</f>
        <v>0</v>
      </c>
      <c r="BY17" s="22">
        <f t="shared" ref="BY17:BY18" si="329">SUM(BU17:BX17)</f>
        <v>0</v>
      </c>
      <c r="BZ17" s="23"/>
      <c r="CA17" s="24"/>
      <c r="CB17" s="21">
        <f t="shared" ref="CB17:CB18" si="330">CA17*$D17</f>
        <v>0</v>
      </c>
      <c r="CC17" s="21">
        <f t="shared" ref="CC17:CC18" si="331">BZ17*$E17</f>
        <v>0</v>
      </c>
      <c r="CD17" s="21">
        <f t="shared" ref="CD17:CD18" si="332">BZ17*$F17</f>
        <v>0</v>
      </c>
      <c r="CE17" s="21">
        <f t="shared" ref="CE17:CE18" si="333">CA17*$G17</f>
        <v>0</v>
      </c>
      <c r="CF17" s="22">
        <f t="shared" ref="CF17:CF18" si="334">SUM(CB17:CE17)</f>
        <v>0</v>
      </c>
      <c r="CG17" s="23"/>
      <c r="CH17" s="24"/>
      <c r="CI17" s="21">
        <f t="shared" ref="CI17:CI18" si="335">CH17*$D17</f>
        <v>0</v>
      </c>
      <c r="CJ17" s="21">
        <f t="shared" ref="CJ17:CJ18" si="336">CG17*$E17</f>
        <v>0</v>
      </c>
      <c r="CK17" s="21">
        <f t="shared" ref="CK17:CK18" si="337">CG17*$F17</f>
        <v>0</v>
      </c>
      <c r="CL17" s="21">
        <f t="shared" ref="CL17:CL18" si="338">CH17*$G17</f>
        <v>0</v>
      </c>
      <c r="CM17" s="22">
        <f t="shared" ref="CM17:CM18" si="339">SUM(CI17:CL17)</f>
        <v>0</v>
      </c>
      <c r="CN17" s="23"/>
      <c r="CO17" s="24"/>
      <c r="CP17" s="21">
        <f t="shared" ref="CP17:CP18" si="340">CO17*$D17</f>
        <v>0</v>
      </c>
      <c r="CQ17" s="21">
        <f t="shared" ref="CQ17:CQ18" si="341">CN17*$E17</f>
        <v>0</v>
      </c>
      <c r="CR17" s="21">
        <f t="shared" ref="CR17:CR18" si="342">CN17*$F17</f>
        <v>0</v>
      </c>
      <c r="CS17" s="21">
        <f t="shared" ref="CS17:CS18" si="343">CO17*$G17</f>
        <v>0</v>
      </c>
      <c r="CT17" s="22">
        <f t="shared" ref="CT17:CT18" si="344">SUM(CP17:CS17)</f>
        <v>0</v>
      </c>
    </row>
    <row r="18" spans="1:98" ht="24.75" customHeight="1">
      <c r="A18" s="83" t="s">
        <v>126</v>
      </c>
      <c r="B18" s="103"/>
      <c r="C18" s="49" t="s">
        <v>32</v>
      </c>
      <c r="D18" s="19">
        <f t="shared" si="2"/>
        <v>2800</v>
      </c>
      <c r="E18" s="20">
        <v>14</v>
      </c>
      <c r="F18" s="21">
        <v>5</v>
      </c>
      <c r="G18" s="22">
        <v>15000</v>
      </c>
      <c r="H18" s="19">
        <f t="shared" si="278"/>
        <v>204960</v>
      </c>
      <c r="I18" s="21">
        <f t="shared" si="279"/>
        <v>122</v>
      </c>
      <c r="J18" s="21">
        <f t="shared" si="280"/>
        <v>341600</v>
      </c>
      <c r="K18" s="21">
        <f t="shared" si="281"/>
        <v>2869440</v>
      </c>
      <c r="L18" s="21">
        <f t="shared" si="282"/>
        <v>1024800</v>
      </c>
      <c r="M18" s="21">
        <f t="shared" si="283"/>
        <v>1830000</v>
      </c>
      <c r="N18" s="22">
        <f t="shared" si="284"/>
        <v>6065840</v>
      </c>
      <c r="O18" s="23">
        <v>47040</v>
      </c>
      <c r="P18" s="24">
        <v>28</v>
      </c>
      <c r="Q18" s="21">
        <f t="shared" si="285"/>
        <v>78400</v>
      </c>
      <c r="R18" s="21">
        <f t="shared" si="286"/>
        <v>658560</v>
      </c>
      <c r="S18" s="21">
        <f t="shared" si="287"/>
        <v>235200</v>
      </c>
      <c r="T18" s="21">
        <f t="shared" si="288"/>
        <v>420000</v>
      </c>
      <c r="U18" s="22">
        <f t="shared" si="289"/>
        <v>1392160</v>
      </c>
      <c r="V18" s="23">
        <f t="shared" si="143"/>
        <v>63840</v>
      </c>
      <c r="W18" s="24">
        <v>38</v>
      </c>
      <c r="X18" s="21">
        <f t="shared" si="290"/>
        <v>106400</v>
      </c>
      <c r="Y18" s="21">
        <f t="shared" si="291"/>
        <v>893760</v>
      </c>
      <c r="Z18" s="21">
        <f t="shared" si="292"/>
        <v>319200</v>
      </c>
      <c r="AA18" s="21">
        <f t="shared" si="293"/>
        <v>570000</v>
      </c>
      <c r="AB18" s="22">
        <f t="shared" si="294"/>
        <v>1889360</v>
      </c>
      <c r="AC18" s="23">
        <f t="shared" si="15"/>
        <v>0</v>
      </c>
      <c r="AD18" s="24"/>
      <c r="AE18" s="21">
        <f t="shared" si="295"/>
        <v>0</v>
      </c>
      <c r="AF18" s="21">
        <f t="shared" si="296"/>
        <v>0</v>
      </c>
      <c r="AG18" s="21">
        <f t="shared" si="297"/>
        <v>0</v>
      </c>
      <c r="AH18" s="21">
        <f t="shared" si="298"/>
        <v>0</v>
      </c>
      <c r="AI18" s="22">
        <f t="shared" si="299"/>
        <v>0</v>
      </c>
      <c r="AJ18" s="23">
        <f t="shared" si="21"/>
        <v>57120</v>
      </c>
      <c r="AK18" s="24">
        <v>34</v>
      </c>
      <c r="AL18" s="21">
        <f t="shared" si="300"/>
        <v>95200</v>
      </c>
      <c r="AM18" s="21">
        <f t="shared" si="301"/>
        <v>799680</v>
      </c>
      <c r="AN18" s="21">
        <f t="shared" si="302"/>
        <v>285600</v>
      </c>
      <c r="AO18" s="21">
        <f t="shared" si="303"/>
        <v>510000</v>
      </c>
      <c r="AP18" s="22">
        <f t="shared" si="304"/>
        <v>1690480</v>
      </c>
      <c r="AQ18" s="23">
        <f t="shared" si="27"/>
        <v>36960</v>
      </c>
      <c r="AR18" s="24">
        <v>22</v>
      </c>
      <c r="AS18" s="21">
        <f t="shared" si="305"/>
        <v>61600</v>
      </c>
      <c r="AT18" s="21">
        <f t="shared" si="306"/>
        <v>517440</v>
      </c>
      <c r="AU18" s="21">
        <f t="shared" si="307"/>
        <v>184800</v>
      </c>
      <c r="AV18" s="21">
        <f t="shared" si="308"/>
        <v>330000</v>
      </c>
      <c r="AW18" s="22">
        <f t="shared" si="309"/>
        <v>1093840</v>
      </c>
      <c r="AX18" s="23">
        <f t="shared" si="33"/>
        <v>0</v>
      </c>
      <c r="AY18" s="24"/>
      <c r="AZ18" s="21">
        <f t="shared" si="310"/>
        <v>0</v>
      </c>
      <c r="BA18" s="21">
        <f t="shared" si="311"/>
        <v>0</v>
      </c>
      <c r="BB18" s="21">
        <f t="shared" si="312"/>
        <v>0</v>
      </c>
      <c r="BC18" s="21">
        <f t="shared" si="313"/>
        <v>0</v>
      </c>
      <c r="BD18" s="22">
        <f t="shared" si="314"/>
        <v>0</v>
      </c>
      <c r="BE18" s="23"/>
      <c r="BF18" s="24"/>
      <c r="BG18" s="21">
        <f t="shared" si="315"/>
        <v>0</v>
      </c>
      <c r="BH18" s="21">
        <f t="shared" si="316"/>
        <v>0</v>
      </c>
      <c r="BI18" s="21">
        <f t="shared" si="317"/>
        <v>0</v>
      </c>
      <c r="BJ18" s="21">
        <f t="shared" si="318"/>
        <v>0</v>
      </c>
      <c r="BK18" s="22">
        <f t="shared" si="319"/>
        <v>0</v>
      </c>
      <c r="BL18" s="23"/>
      <c r="BM18" s="24"/>
      <c r="BN18" s="21">
        <f t="shared" si="320"/>
        <v>0</v>
      </c>
      <c r="BO18" s="21">
        <f t="shared" si="321"/>
        <v>0</v>
      </c>
      <c r="BP18" s="21">
        <f t="shared" si="322"/>
        <v>0</v>
      </c>
      <c r="BQ18" s="21">
        <f t="shared" si="323"/>
        <v>0</v>
      </c>
      <c r="BR18" s="22">
        <f t="shared" si="324"/>
        <v>0</v>
      </c>
      <c r="BS18" s="23"/>
      <c r="BT18" s="24"/>
      <c r="BU18" s="21">
        <f t="shared" si="325"/>
        <v>0</v>
      </c>
      <c r="BV18" s="21">
        <f t="shared" si="326"/>
        <v>0</v>
      </c>
      <c r="BW18" s="21">
        <f t="shared" si="327"/>
        <v>0</v>
      </c>
      <c r="BX18" s="21">
        <f t="shared" si="328"/>
        <v>0</v>
      </c>
      <c r="BY18" s="22">
        <f t="shared" si="329"/>
        <v>0</v>
      </c>
      <c r="BZ18" s="23"/>
      <c r="CA18" s="24"/>
      <c r="CB18" s="21">
        <f t="shared" si="330"/>
        <v>0</v>
      </c>
      <c r="CC18" s="21">
        <f t="shared" si="331"/>
        <v>0</v>
      </c>
      <c r="CD18" s="21">
        <f t="shared" si="332"/>
        <v>0</v>
      </c>
      <c r="CE18" s="21">
        <f t="shared" si="333"/>
        <v>0</v>
      </c>
      <c r="CF18" s="22">
        <f t="shared" si="334"/>
        <v>0</v>
      </c>
      <c r="CG18" s="23"/>
      <c r="CH18" s="24"/>
      <c r="CI18" s="21">
        <f t="shared" si="335"/>
        <v>0</v>
      </c>
      <c r="CJ18" s="21">
        <f t="shared" si="336"/>
        <v>0</v>
      </c>
      <c r="CK18" s="21">
        <f t="shared" si="337"/>
        <v>0</v>
      </c>
      <c r="CL18" s="21">
        <f t="shared" si="338"/>
        <v>0</v>
      </c>
      <c r="CM18" s="22">
        <f t="shared" si="339"/>
        <v>0</v>
      </c>
      <c r="CN18" s="23"/>
      <c r="CO18" s="24"/>
      <c r="CP18" s="21">
        <f t="shared" si="340"/>
        <v>0</v>
      </c>
      <c r="CQ18" s="21">
        <f t="shared" si="341"/>
        <v>0</v>
      </c>
      <c r="CR18" s="21">
        <f t="shared" si="342"/>
        <v>0</v>
      </c>
      <c r="CS18" s="21">
        <f t="shared" si="343"/>
        <v>0</v>
      </c>
      <c r="CT18" s="22">
        <f t="shared" si="344"/>
        <v>0</v>
      </c>
    </row>
    <row r="19" spans="1:98" ht="24.75" customHeight="1">
      <c r="A19" s="83" t="s">
        <v>127</v>
      </c>
      <c r="B19" s="104"/>
      <c r="C19" s="25" t="s">
        <v>51</v>
      </c>
      <c r="D19" s="26">
        <f t="shared" si="2"/>
        <v>2800</v>
      </c>
      <c r="E19" s="27">
        <v>82</v>
      </c>
      <c r="F19" s="28">
        <v>5</v>
      </c>
      <c r="G19" s="29">
        <v>15000</v>
      </c>
      <c r="H19" s="26">
        <f t="shared" si="69"/>
        <v>37728</v>
      </c>
      <c r="I19" s="28">
        <f t="shared" si="70"/>
        <v>131</v>
      </c>
      <c r="J19" s="28">
        <f t="shared" si="71"/>
        <v>366800</v>
      </c>
      <c r="K19" s="28">
        <f t="shared" si="72"/>
        <v>3093696</v>
      </c>
      <c r="L19" s="28">
        <f t="shared" si="73"/>
        <v>188640</v>
      </c>
      <c r="M19" s="28">
        <f t="shared" si="74"/>
        <v>1965000</v>
      </c>
      <c r="N19" s="29">
        <f t="shared" si="75"/>
        <v>5614136</v>
      </c>
      <c r="O19" s="30">
        <v>2304</v>
      </c>
      <c r="P19" s="31">
        <v>8</v>
      </c>
      <c r="Q19" s="28">
        <f t="shared" si="4"/>
        <v>22400</v>
      </c>
      <c r="R19" s="28">
        <f t="shared" si="5"/>
        <v>188928</v>
      </c>
      <c r="S19" s="28">
        <f t="shared" si="6"/>
        <v>11520</v>
      </c>
      <c r="T19" s="28">
        <f t="shared" si="7"/>
        <v>120000</v>
      </c>
      <c r="U19" s="29">
        <f t="shared" si="8"/>
        <v>342848</v>
      </c>
      <c r="V19" s="30">
        <f>W19*288</f>
        <v>5184</v>
      </c>
      <c r="W19" s="31">
        <v>18</v>
      </c>
      <c r="X19" s="28">
        <f t="shared" si="10"/>
        <v>50400</v>
      </c>
      <c r="Y19" s="28">
        <f t="shared" si="11"/>
        <v>425088</v>
      </c>
      <c r="Z19" s="28">
        <f t="shared" si="12"/>
        <v>25920</v>
      </c>
      <c r="AA19" s="28">
        <f t="shared" si="13"/>
        <v>270000</v>
      </c>
      <c r="AB19" s="29">
        <f t="shared" si="14"/>
        <v>771408</v>
      </c>
      <c r="AC19" s="30">
        <f>AD19*288</f>
        <v>3456</v>
      </c>
      <c r="AD19" s="31">
        <v>12</v>
      </c>
      <c r="AE19" s="28">
        <f t="shared" si="16"/>
        <v>33600</v>
      </c>
      <c r="AF19" s="28">
        <f t="shared" si="17"/>
        <v>283392</v>
      </c>
      <c r="AG19" s="28">
        <f t="shared" si="18"/>
        <v>17280</v>
      </c>
      <c r="AH19" s="28">
        <f t="shared" si="19"/>
        <v>180000</v>
      </c>
      <c r="AI19" s="29">
        <f t="shared" si="20"/>
        <v>514272</v>
      </c>
      <c r="AJ19" s="30">
        <f>AK19*288</f>
        <v>3168</v>
      </c>
      <c r="AK19" s="31">
        <v>11</v>
      </c>
      <c r="AL19" s="28">
        <f t="shared" si="22"/>
        <v>30800</v>
      </c>
      <c r="AM19" s="28">
        <f t="shared" si="23"/>
        <v>259776</v>
      </c>
      <c r="AN19" s="28">
        <f t="shared" si="24"/>
        <v>15840</v>
      </c>
      <c r="AO19" s="28">
        <f t="shared" si="25"/>
        <v>165000</v>
      </c>
      <c r="AP19" s="29">
        <f t="shared" si="26"/>
        <v>471416</v>
      </c>
      <c r="AQ19" s="30">
        <f>AR19*288</f>
        <v>8928</v>
      </c>
      <c r="AR19" s="31">
        <v>31</v>
      </c>
      <c r="AS19" s="28">
        <f t="shared" si="28"/>
        <v>86800</v>
      </c>
      <c r="AT19" s="28">
        <f t="shared" si="29"/>
        <v>732096</v>
      </c>
      <c r="AU19" s="28">
        <f t="shared" si="30"/>
        <v>44640</v>
      </c>
      <c r="AV19" s="28">
        <f t="shared" si="31"/>
        <v>465000</v>
      </c>
      <c r="AW19" s="29">
        <f t="shared" si="32"/>
        <v>1328536</v>
      </c>
      <c r="AX19" s="30">
        <f>AY19*288</f>
        <v>14688</v>
      </c>
      <c r="AY19" s="31">
        <v>51</v>
      </c>
      <c r="AZ19" s="28">
        <f t="shared" si="34"/>
        <v>142800</v>
      </c>
      <c r="BA19" s="28">
        <f t="shared" si="35"/>
        <v>1204416</v>
      </c>
      <c r="BB19" s="28">
        <f t="shared" si="36"/>
        <v>73440</v>
      </c>
      <c r="BC19" s="28">
        <f t="shared" si="37"/>
        <v>765000</v>
      </c>
      <c r="BD19" s="29">
        <f t="shared" si="38"/>
        <v>2185656</v>
      </c>
      <c r="BE19" s="30"/>
      <c r="BF19" s="31"/>
      <c r="BG19" s="28">
        <f t="shared" si="39"/>
        <v>0</v>
      </c>
      <c r="BH19" s="28">
        <f t="shared" si="40"/>
        <v>0</v>
      </c>
      <c r="BI19" s="28">
        <f t="shared" si="41"/>
        <v>0</v>
      </c>
      <c r="BJ19" s="28">
        <f t="shared" si="42"/>
        <v>0</v>
      </c>
      <c r="BK19" s="29">
        <f t="shared" si="43"/>
        <v>0</v>
      </c>
      <c r="BL19" s="30"/>
      <c r="BM19" s="31"/>
      <c r="BN19" s="28">
        <f t="shared" si="44"/>
        <v>0</v>
      </c>
      <c r="BO19" s="28">
        <f t="shared" si="45"/>
        <v>0</v>
      </c>
      <c r="BP19" s="28">
        <f t="shared" si="46"/>
        <v>0</v>
      </c>
      <c r="BQ19" s="28">
        <f t="shared" si="47"/>
        <v>0</v>
      </c>
      <c r="BR19" s="29">
        <f t="shared" si="48"/>
        <v>0</v>
      </c>
      <c r="BS19" s="30"/>
      <c r="BT19" s="31"/>
      <c r="BU19" s="28">
        <f t="shared" si="49"/>
        <v>0</v>
      </c>
      <c r="BV19" s="28">
        <f t="shared" si="50"/>
        <v>0</v>
      </c>
      <c r="BW19" s="28">
        <f t="shared" si="51"/>
        <v>0</v>
      </c>
      <c r="BX19" s="28">
        <f t="shared" si="52"/>
        <v>0</v>
      </c>
      <c r="BY19" s="29">
        <f t="shared" si="53"/>
        <v>0</v>
      </c>
      <c r="BZ19" s="30"/>
      <c r="CA19" s="31"/>
      <c r="CB19" s="28">
        <f t="shared" si="54"/>
        <v>0</v>
      </c>
      <c r="CC19" s="28">
        <f t="shared" si="55"/>
        <v>0</v>
      </c>
      <c r="CD19" s="28">
        <f t="shared" si="56"/>
        <v>0</v>
      </c>
      <c r="CE19" s="28">
        <f t="shared" si="57"/>
        <v>0</v>
      </c>
      <c r="CF19" s="29">
        <f t="shared" si="58"/>
        <v>0</v>
      </c>
      <c r="CG19" s="30"/>
      <c r="CH19" s="31"/>
      <c r="CI19" s="28">
        <f t="shared" si="59"/>
        <v>0</v>
      </c>
      <c r="CJ19" s="28">
        <f t="shared" si="60"/>
        <v>0</v>
      </c>
      <c r="CK19" s="28">
        <f t="shared" si="61"/>
        <v>0</v>
      </c>
      <c r="CL19" s="28">
        <f t="shared" si="62"/>
        <v>0</v>
      </c>
      <c r="CM19" s="29">
        <f t="shared" si="63"/>
        <v>0</v>
      </c>
      <c r="CN19" s="30"/>
      <c r="CO19" s="31"/>
      <c r="CP19" s="28">
        <f t="shared" si="64"/>
        <v>0</v>
      </c>
      <c r="CQ19" s="28">
        <f t="shared" si="65"/>
        <v>0</v>
      </c>
      <c r="CR19" s="28">
        <f t="shared" si="66"/>
        <v>0</v>
      </c>
      <c r="CS19" s="28">
        <f t="shared" si="67"/>
        <v>0</v>
      </c>
      <c r="CT19" s="29">
        <f t="shared" si="68"/>
        <v>0</v>
      </c>
    </row>
    <row r="20" spans="1:98" ht="24.75" customHeight="1">
      <c r="A20" s="83" t="s">
        <v>128</v>
      </c>
      <c r="B20" s="99" t="s">
        <v>33</v>
      </c>
      <c r="C20" s="32" t="s">
        <v>34</v>
      </c>
      <c r="D20" s="33">
        <v>2800</v>
      </c>
      <c r="E20" s="34">
        <v>6.15</v>
      </c>
      <c r="F20" s="35">
        <v>5</v>
      </c>
      <c r="G20" s="36">
        <v>15000</v>
      </c>
      <c r="H20" s="33">
        <f t="shared" si="69"/>
        <v>1537536</v>
      </c>
      <c r="I20" s="35">
        <f t="shared" si="70"/>
        <v>448</v>
      </c>
      <c r="J20" s="35">
        <f t="shared" si="71"/>
        <v>1254400</v>
      </c>
      <c r="K20" s="35">
        <f t="shared" si="72"/>
        <v>9455846.4000000022</v>
      </c>
      <c r="L20" s="35">
        <f t="shared" si="73"/>
        <v>7687680</v>
      </c>
      <c r="M20" s="35">
        <f t="shared" si="74"/>
        <v>6720000</v>
      </c>
      <c r="N20" s="36">
        <f t="shared" si="75"/>
        <v>25117926.400000002</v>
      </c>
      <c r="O20" s="37">
        <v>658944</v>
      </c>
      <c r="P20" s="38">
        <v>192</v>
      </c>
      <c r="Q20" s="35">
        <f t="shared" si="4"/>
        <v>537600</v>
      </c>
      <c r="R20" s="35">
        <f t="shared" si="5"/>
        <v>4052505.6</v>
      </c>
      <c r="S20" s="35">
        <f t="shared" si="6"/>
        <v>3294720</v>
      </c>
      <c r="T20" s="35">
        <f t="shared" si="7"/>
        <v>2880000</v>
      </c>
      <c r="U20" s="36">
        <f t="shared" si="8"/>
        <v>10764825.6</v>
      </c>
      <c r="V20" s="37">
        <f t="shared" ref="V20:V28" si="345">W20*3432</f>
        <v>54912</v>
      </c>
      <c r="W20" s="38">
        <v>16</v>
      </c>
      <c r="X20" s="35">
        <f t="shared" si="10"/>
        <v>44800</v>
      </c>
      <c r="Y20" s="35">
        <f t="shared" si="11"/>
        <v>337708.80000000005</v>
      </c>
      <c r="Z20" s="35">
        <f t="shared" si="12"/>
        <v>274560</v>
      </c>
      <c r="AA20" s="35">
        <f t="shared" si="13"/>
        <v>240000</v>
      </c>
      <c r="AB20" s="36">
        <f t="shared" si="14"/>
        <v>897068.8</v>
      </c>
      <c r="AC20" s="37">
        <f t="shared" ref="AC20:AC29" si="346">AD20*3432</f>
        <v>219648</v>
      </c>
      <c r="AD20" s="38">
        <v>64</v>
      </c>
      <c r="AE20" s="35">
        <f t="shared" si="16"/>
        <v>179200</v>
      </c>
      <c r="AF20" s="35">
        <f t="shared" si="17"/>
        <v>1350835.2000000002</v>
      </c>
      <c r="AG20" s="35">
        <f t="shared" si="18"/>
        <v>1098240</v>
      </c>
      <c r="AH20" s="35">
        <f t="shared" si="19"/>
        <v>960000</v>
      </c>
      <c r="AI20" s="36">
        <f t="shared" si="20"/>
        <v>3588275.2</v>
      </c>
      <c r="AJ20" s="37">
        <f t="shared" ref="AJ20:AJ29" si="347">AK20*3432</f>
        <v>219648</v>
      </c>
      <c r="AK20" s="38">
        <v>64</v>
      </c>
      <c r="AL20" s="35">
        <f t="shared" si="22"/>
        <v>179200</v>
      </c>
      <c r="AM20" s="35">
        <f t="shared" si="23"/>
        <v>1350835.2000000002</v>
      </c>
      <c r="AN20" s="35">
        <f t="shared" si="24"/>
        <v>1098240</v>
      </c>
      <c r="AO20" s="35">
        <f t="shared" si="25"/>
        <v>960000</v>
      </c>
      <c r="AP20" s="36">
        <f t="shared" si="26"/>
        <v>3588275.2</v>
      </c>
      <c r="AQ20" s="37">
        <f t="shared" ref="AQ20:AQ29" si="348">AR20*3432</f>
        <v>329472</v>
      </c>
      <c r="AR20" s="38">
        <v>96</v>
      </c>
      <c r="AS20" s="35">
        <f t="shared" si="28"/>
        <v>268800</v>
      </c>
      <c r="AT20" s="35">
        <f t="shared" si="29"/>
        <v>2026252.8</v>
      </c>
      <c r="AU20" s="35">
        <f t="shared" si="30"/>
        <v>1647360</v>
      </c>
      <c r="AV20" s="35">
        <f t="shared" si="31"/>
        <v>1440000</v>
      </c>
      <c r="AW20" s="36">
        <f t="shared" si="32"/>
        <v>5382412.7999999998</v>
      </c>
      <c r="AX20" s="37">
        <f t="shared" ref="AX20:AX29" si="349">AY20*3432</f>
        <v>54912</v>
      </c>
      <c r="AY20" s="38">
        <v>16</v>
      </c>
      <c r="AZ20" s="35">
        <f t="shared" si="34"/>
        <v>44800</v>
      </c>
      <c r="BA20" s="35">
        <f t="shared" si="35"/>
        <v>337708.80000000005</v>
      </c>
      <c r="BB20" s="35">
        <f t="shared" si="36"/>
        <v>274560</v>
      </c>
      <c r="BC20" s="35">
        <f t="shared" si="37"/>
        <v>240000</v>
      </c>
      <c r="BD20" s="36">
        <f t="shared" si="38"/>
        <v>897068.8</v>
      </c>
      <c r="BE20" s="37"/>
      <c r="BF20" s="38"/>
      <c r="BG20" s="35">
        <f t="shared" si="39"/>
        <v>0</v>
      </c>
      <c r="BH20" s="35">
        <f t="shared" si="40"/>
        <v>0</v>
      </c>
      <c r="BI20" s="35">
        <f t="shared" si="41"/>
        <v>0</v>
      </c>
      <c r="BJ20" s="35">
        <f t="shared" si="42"/>
        <v>0</v>
      </c>
      <c r="BK20" s="36">
        <f t="shared" si="43"/>
        <v>0</v>
      </c>
      <c r="BL20" s="37"/>
      <c r="BM20" s="38"/>
      <c r="BN20" s="35">
        <f t="shared" si="44"/>
        <v>0</v>
      </c>
      <c r="BO20" s="35">
        <f t="shared" si="45"/>
        <v>0</v>
      </c>
      <c r="BP20" s="35">
        <f t="shared" si="46"/>
        <v>0</v>
      </c>
      <c r="BQ20" s="35">
        <f t="shared" si="47"/>
        <v>0</v>
      </c>
      <c r="BR20" s="36">
        <f t="shared" si="48"/>
        <v>0</v>
      </c>
      <c r="BS20" s="37"/>
      <c r="BT20" s="38"/>
      <c r="BU20" s="35">
        <f t="shared" si="49"/>
        <v>0</v>
      </c>
      <c r="BV20" s="35">
        <f t="shared" si="50"/>
        <v>0</v>
      </c>
      <c r="BW20" s="35">
        <f t="shared" si="51"/>
        <v>0</v>
      </c>
      <c r="BX20" s="35">
        <f t="shared" si="52"/>
        <v>0</v>
      </c>
      <c r="BY20" s="36">
        <f t="shared" si="53"/>
        <v>0</v>
      </c>
      <c r="BZ20" s="37"/>
      <c r="CA20" s="38"/>
      <c r="CB20" s="35">
        <f t="shared" si="54"/>
        <v>0</v>
      </c>
      <c r="CC20" s="35">
        <f t="shared" si="55"/>
        <v>0</v>
      </c>
      <c r="CD20" s="35">
        <f t="shared" si="56"/>
        <v>0</v>
      </c>
      <c r="CE20" s="35">
        <f t="shared" si="57"/>
        <v>0</v>
      </c>
      <c r="CF20" s="36">
        <f t="shared" si="58"/>
        <v>0</v>
      </c>
      <c r="CG20" s="37"/>
      <c r="CH20" s="38"/>
      <c r="CI20" s="35">
        <f t="shared" si="59"/>
        <v>0</v>
      </c>
      <c r="CJ20" s="35">
        <f t="shared" si="60"/>
        <v>0</v>
      </c>
      <c r="CK20" s="35">
        <f t="shared" si="61"/>
        <v>0</v>
      </c>
      <c r="CL20" s="35">
        <f t="shared" si="62"/>
        <v>0</v>
      </c>
      <c r="CM20" s="36">
        <f t="shared" si="63"/>
        <v>0</v>
      </c>
      <c r="CN20" s="37"/>
      <c r="CO20" s="38"/>
      <c r="CP20" s="35">
        <f t="shared" si="64"/>
        <v>0</v>
      </c>
      <c r="CQ20" s="35">
        <f t="shared" si="65"/>
        <v>0</v>
      </c>
      <c r="CR20" s="35">
        <f t="shared" si="66"/>
        <v>0</v>
      </c>
      <c r="CS20" s="35">
        <f t="shared" si="67"/>
        <v>0</v>
      </c>
      <c r="CT20" s="36">
        <f t="shared" si="68"/>
        <v>0</v>
      </c>
    </row>
    <row r="21" spans="1:98" ht="24.75" customHeight="1">
      <c r="A21" s="83" t="s">
        <v>129</v>
      </c>
      <c r="B21" s="102"/>
      <c r="C21" s="42" t="s">
        <v>35</v>
      </c>
      <c r="D21" s="43">
        <v>2800</v>
      </c>
      <c r="E21" s="44">
        <v>6.15</v>
      </c>
      <c r="F21" s="45">
        <v>5</v>
      </c>
      <c r="G21" s="46">
        <v>15000</v>
      </c>
      <c r="H21" s="43">
        <f t="shared" si="69"/>
        <v>102960</v>
      </c>
      <c r="I21" s="45">
        <f t="shared" si="70"/>
        <v>30</v>
      </c>
      <c r="J21" s="45">
        <f t="shared" si="71"/>
        <v>84000</v>
      </c>
      <c r="K21" s="45">
        <f t="shared" si="72"/>
        <v>633204</v>
      </c>
      <c r="L21" s="45">
        <f t="shared" si="73"/>
        <v>514800</v>
      </c>
      <c r="M21" s="45">
        <f t="shared" si="74"/>
        <v>450000</v>
      </c>
      <c r="N21" s="46">
        <f t="shared" si="75"/>
        <v>1682003.9999999998</v>
      </c>
      <c r="O21" s="47">
        <v>30888</v>
      </c>
      <c r="P21" s="48">
        <v>9</v>
      </c>
      <c r="Q21" s="45">
        <f t="shared" si="4"/>
        <v>25200</v>
      </c>
      <c r="R21" s="45">
        <f t="shared" si="5"/>
        <v>189961.2</v>
      </c>
      <c r="S21" s="45">
        <f t="shared" si="6"/>
        <v>154440</v>
      </c>
      <c r="T21" s="45">
        <f t="shared" si="7"/>
        <v>135000</v>
      </c>
      <c r="U21" s="46">
        <f t="shared" si="8"/>
        <v>504601.2</v>
      </c>
      <c r="V21" s="47">
        <f t="shared" si="345"/>
        <v>34320</v>
      </c>
      <c r="W21" s="48">
        <v>10</v>
      </c>
      <c r="X21" s="45">
        <f t="shared" si="10"/>
        <v>28000</v>
      </c>
      <c r="Y21" s="45">
        <f t="shared" si="11"/>
        <v>211068</v>
      </c>
      <c r="Z21" s="45">
        <f t="shared" si="12"/>
        <v>171600</v>
      </c>
      <c r="AA21" s="45">
        <f t="shared" si="13"/>
        <v>150000</v>
      </c>
      <c r="AB21" s="46">
        <f t="shared" si="14"/>
        <v>560668</v>
      </c>
      <c r="AC21" s="47">
        <f t="shared" si="346"/>
        <v>0</v>
      </c>
      <c r="AD21" s="48"/>
      <c r="AE21" s="45">
        <f t="shared" si="16"/>
        <v>0</v>
      </c>
      <c r="AF21" s="45">
        <f t="shared" si="17"/>
        <v>0</v>
      </c>
      <c r="AG21" s="45">
        <f t="shared" si="18"/>
        <v>0</v>
      </c>
      <c r="AH21" s="45">
        <f t="shared" si="19"/>
        <v>0</v>
      </c>
      <c r="AI21" s="46">
        <f t="shared" si="20"/>
        <v>0</v>
      </c>
      <c r="AJ21" s="47">
        <f t="shared" si="347"/>
        <v>10296</v>
      </c>
      <c r="AK21" s="48">
        <v>3</v>
      </c>
      <c r="AL21" s="45">
        <f t="shared" si="22"/>
        <v>8400</v>
      </c>
      <c r="AM21" s="45">
        <f t="shared" si="23"/>
        <v>63320.4</v>
      </c>
      <c r="AN21" s="45">
        <f t="shared" si="24"/>
        <v>51480</v>
      </c>
      <c r="AO21" s="45">
        <f t="shared" si="25"/>
        <v>45000</v>
      </c>
      <c r="AP21" s="46">
        <f t="shared" si="26"/>
        <v>168200.4</v>
      </c>
      <c r="AQ21" s="47">
        <f t="shared" si="348"/>
        <v>13728</v>
      </c>
      <c r="AR21" s="48">
        <v>4</v>
      </c>
      <c r="AS21" s="45">
        <f t="shared" si="28"/>
        <v>11200</v>
      </c>
      <c r="AT21" s="45">
        <f t="shared" si="29"/>
        <v>84427.200000000012</v>
      </c>
      <c r="AU21" s="45">
        <f t="shared" si="30"/>
        <v>68640</v>
      </c>
      <c r="AV21" s="45">
        <f t="shared" si="31"/>
        <v>60000</v>
      </c>
      <c r="AW21" s="46">
        <f t="shared" si="32"/>
        <v>224267.2</v>
      </c>
      <c r="AX21" s="47">
        <f t="shared" si="349"/>
        <v>13728</v>
      </c>
      <c r="AY21" s="48">
        <v>4</v>
      </c>
      <c r="AZ21" s="45">
        <f t="shared" si="34"/>
        <v>11200</v>
      </c>
      <c r="BA21" s="45">
        <f t="shared" si="35"/>
        <v>84427.200000000012</v>
      </c>
      <c r="BB21" s="45">
        <f t="shared" si="36"/>
        <v>68640</v>
      </c>
      <c r="BC21" s="45">
        <f t="shared" si="37"/>
        <v>60000</v>
      </c>
      <c r="BD21" s="46">
        <f t="shared" si="38"/>
        <v>224267.2</v>
      </c>
      <c r="BE21" s="47"/>
      <c r="BF21" s="48"/>
      <c r="BG21" s="45">
        <f t="shared" si="39"/>
        <v>0</v>
      </c>
      <c r="BH21" s="45">
        <f t="shared" si="40"/>
        <v>0</v>
      </c>
      <c r="BI21" s="45">
        <f t="shared" si="41"/>
        <v>0</v>
      </c>
      <c r="BJ21" s="45">
        <f t="shared" si="42"/>
        <v>0</v>
      </c>
      <c r="BK21" s="46">
        <f t="shared" si="43"/>
        <v>0</v>
      </c>
      <c r="BL21" s="47"/>
      <c r="BM21" s="48"/>
      <c r="BN21" s="45">
        <f t="shared" si="44"/>
        <v>0</v>
      </c>
      <c r="BO21" s="45">
        <f t="shared" si="45"/>
        <v>0</v>
      </c>
      <c r="BP21" s="45">
        <f t="shared" si="46"/>
        <v>0</v>
      </c>
      <c r="BQ21" s="45">
        <f t="shared" si="47"/>
        <v>0</v>
      </c>
      <c r="BR21" s="46">
        <f t="shared" si="48"/>
        <v>0</v>
      </c>
      <c r="BS21" s="47"/>
      <c r="BT21" s="48"/>
      <c r="BU21" s="45">
        <f t="shared" si="49"/>
        <v>0</v>
      </c>
      <c r="BV21" s="45">
        <f t="shared" si="50"/>
        <v>0</v>
      </c>
      <c r="BW21" s="45">
        <f t="shared" si="51"/>
        <v>0</v>
      </c>
      <c r="BX21" s="45">
        <f t="shared" si="52"/>
        <v>0</v>
      </c>
      <c r="BY21" s="46">
        <f t="shared" si="53"/>
        <v>0</v>
      </c>
      <c r="BZ21" s="47"/>
      <c r="CA21" s="48"/>
      <c r="CB21" s="45">
        <f t="shared" si="54"/>
        <v>0</v>
      </c>
      <c r="CC21" s="45">
        <f t="shared" si="55"/>
        <v>0</v>
      </c>
      <c r="CD21" s="45">
        <f t="shared" si="56"/>
        <v>0</v>
      </c>
      <c r="CE21" s="45">
        <f t="shared" si="57"/>
        <v>0</v>
      </c>
      <c r="CF21" s="46">
        <f t="shared" si="58"/>
        <v>0</v>
      </c>
      <c r="CG21" s="47"/>
      <c r="CH21" s="48"/>
      <c r="CI21" s="45">
        <f t="shared" si="59"/>
        <v>0</v>
      </c>
      <c r="CJ21" s="45">
        <f t="shared" si="60"/>
        <v>0</v>
      </c>
      <c r="CK21" s="45">
        <f t="shared" si="61"/>
        <v>0</v>
      </c>
      <c r="CL21" s="45">
        <f t="shared" si="62"/>
        <v>0</v>
      </c>
      <c r="CM21" s="46">
        <f t="shared" si="63"/>
        <v>0</v>
      </c>
      <c r="CN21" s="47"/>
      <c r="CO21" s="48"/>
      <c r="CP21" s="45">
        <f t="shared" si="64"/>
        <v>0</v>
      </c>
      <c r="CQ21" s="45">
        <f t="shared" si="65"/>
        <v>0</v>
      </c>
      <c r="CR21" s="45">
        <f t="shared" si="66"/>
        <v>0</v>
      </c>
      <c r="CS21" s="45">
        <f t="shared" si="67"/>
        <v>0</v>
      </c>
      <c r="CT21" s="46">
        <f t="shared" si="68"/>
        <v>0</v>
      </c>
    </row>
    <row r="22" spans="1:98" ht="24.75" customHeight="1">
      <c r="A22" s="83" t="s">
        <v>130</v>
      </c>
      <c r="B22" s="103"/>
      <c r="C22" s="18" t="s">
        <v>52</v>
      </c>
      <c r="D22" s="19">
        <v>2800</v>
      </c>
      <c r="E22" s="20">
        <v>6.15</v>
      </c>
      <c r="F22" s="21">
        <v>5</v>
      </c>
      <c r="G22" s="22">
        <v>15000</v>
      </c>
      <c r="H22" s="19">
        <f t="shared" ref="H22:H23" si="350">O22+V22+AC22+AJ22+AQ22+AX22+BE22+BL22+BS22+BZ22+CG22+CN22</f>
        <v>240240</v>
      </c>
      <c r="I22" s="21">
        <f t="shared" ref="I22:I23" si="351">P22+W22+AD22+AK22+AR22+AY22+BF22+BM22+BT22+CA22+CH22+CO22</f>
        <v>70</v>
      </c>
      <c r="J22" s="21">
        <f t="shared" ref="J22:J23" si="352">Q22+X22+AE22+AL22+AS22+AZ22+BG22+BN22+BU22+CB22+CI22+CP22</f>
        <v>196000</v>
      </c>
      <c r="K22" s="21">
        <f t="shared" ref="K22:K23" si="353">R22+Y22+AF22+AM22+AT22+BA22+BH22+BO22+BV22+CC22+CJ22+CQ22</f>
        <v>1477476</v>
      </c>
      <c r="L22" s="21">
        <f t="shared" ref="L22:L23" si="354">S22+Z22+AG22+AN22+AU22+BB22+BI22+BP22+BW22+CD22+CK22+CR22</f>
        <v>1201200</v>
      </c>
      <c r="M22" s="21">
        <f t="shared" ref="M22:M23" si="355">T22+AA22+AH22+AO22+AV22+BC22+BJ22+BQ22+BX22+CE22+CL22+CS22</f>
        <v>1050000</v>
      </c>
      <c r="N22" s="22">
        <f t="shared" ref="N22:N23" si="356">U22+AB22+AI22+AP22+AW22+BD22+BK22+BR22+BY22+CF22+CM22+CT22</f>
        <v>3924676</v>
      </c>
      <c r="O22" s="23"/>
      <c r="P22" s="24"/>
      <c r="Q22" s="21">
        <f t="shared" ref="Q22:Q23" si="357">P22*$D22</f>
        <v>0</v>
      </c>
      <c r="R22" s="21">
        <f t="shared" ref="R22:R23" si="358">O22*$E22</f>
        <v>0</v>
      </c>
      <c r="S22" s="21">
        <f t="shared" ref="S22:S23" si="359">O22*$F22</f>
        <v>0</v>
      </c>
      <c r="T22" s="21">
        <f t="shared" ref="T22:T23" si="360">P22*$G22</f>
        <v>0</v>
      </c>
      <c r="U22" s="22">
        <f t="shared" ref="U22:U23" si="361">SUM(Q22:T22)</f>
        <v>0</v>
      </c>
      <c r="V22" s="37">
        <f t="shared" si="345"/>
        <v>6864</v>
      </c>
      <c r="W22" s="24">
        <v>2</v>
      </c>
      <c r="X22" s="21">
        <f t="shared" ref="X22:X23" si="362">W22*$D22</f>
        <v>5600</v>
      </c>
      <c r="Y22" s="21">
        <f t="shared" ref="Y22:Y23" si="363">V22*$E22</f>
        <v>42213.600000000006</v>
      </c>
      <c r="Z22" s="21">
        <f t="shared" ref="Z22:Z23" si="364">V22*$F22</f>
        <v>34320</v>
      </c>
      <c r="AA22" s="21">
        <f t="shared" ref="AA22:AA23" si="365">W22*$G22</f>
        <v>30000</v>
      </c>
      <c r="AB22" s="22">
        <f t="shared" ref="AB22:AB23" si="366">SUM(X22:AA22)</f>
        <v>112133.6</v>
      </c>
      <c r="AC22" s="37">
        <f t="shared" si="346"/>
        <v>61776</v>
      </c>
      <c r="AD22" s="24">
        <v>18</v>
      </c>
      <c r="AE22" s="21">
        <f t="shared" ref="AE22:AE23" si="367">AD22*$D22</f>
        <v>50400</v>
      </c>
      <c r="AF22" s="21">
        <f t="shared" ref="AF22:AF23" si="368">AC22*$E22</f>
        <v>379922.4</v>
      </c>
      <c r="AG22" s="21">
        <f t="shared" ref="AG22:AG23" si="369">AC22*$F22</f>
        <v>308880</v>
      </c>
      <c r="AH22" s="21">
        <f t="shared" ref="AH22:AH23" si="370">AD22*$G22</f>
        <v>270000</v>
      </c>
      <c r="AI22" s="22">
        <f t="shared" ref="AI22:AI23" si="371">SUM(AE22:AH22)</f>
        <v>1009202.4</v>
      </c>
      <c r="AJ22" s="37">
        <f t="shared" si="347"/>
        <v>30888</v>
      </c>
      <c r="AK22" s="24">
        <v>9</v>
      </c>
      <c r="AL22" s="21">
        <f t="shared" ref="AL22:AL23" si="372">AK22*$D22</f>
        <v>25200</v>
      </c>
      <c r="AM22" s="21">
        <f t="shared" ref="AM22:AM23" si="373">AJ22*$E22</f>
        <v>189961.2</v>
      </c>
      <c r="AN22" s="21">
        <f t="shared" ref="AN22:AN23" si="374">AJ22*$F22</f>
        <v>154440</v>
      </c>
      <c r="AO22" s="21">
        <f t="shared" ref="AO22:AO23" si="375">AK22*$G22</f>
        <v>135000</v>
      </c>
      <c r="AP22" s="22">
        <f t="shared" ref="AP22:AP23" si="376">SUM(AL22:AO22)</f>
        <v>504601.2</v>
      </c>
      <c r="AQ22" s="37">
        <f t="shared" si="348"/>
        <v>68640</v>
      </c>
      <c r="AR22" s="24">
        <v>20</v>
      </c>
      <c r="AS22" s="21">
        <f t="shared" ref="AS22:AS23" si="377">AR22*$D22</f>
        <v>56000</v>
      </c>
      <c r="AT22" s="21">
        <f t="shared" ref="AT22:AT23" si="378">AQ22*$E22</f>
        <v>422136</v>
      </c>
      <c r="AU22" s="21">
        <f t="shared" ref="AU22:AU23" si="379">AQ22*$F22</f>
        <v>343200</v>
      </c>
      <c r="AV22" s="21">
        <f t="shared" ref="AV22:AV23" si="380">AR22*$G22</f>
        <v>300000</v>
      </c>
      <c r="AW22" s="22">
        <f t="shared" ref="AW22:AW23" si="381">SUM(AS22:AV22)</f>
        <v>1121336</v>
      </c>
      <c r="AX22" s="37">
        <f t="shared" si="349"/>
        <v>72072</v>
      </c>
      <c r="AY22" s="24">
        <v>21</v>
      </c>
      <c r="AZ22" s="21">
        <f t="shared" ref="AZ22:AZ23" si="382">AY22*$D22</f>
        <v>58800</v>
      </c>
      <c r="BA22" s="21">
        <f t="shared" ref="BA22:BA23" si="383">AX22*$E22</f>
        <v>443242.80000000005</v>
      </c>
      <c r="BB22" s="21">
        <f t="shared" ref="BB22:BB23" si="384">AX22*$F22</f>
        <v>360360</v>
      </c>
      <c r="BC22" s="21">
        <f t="shared" ref="BC22:BC23" si="385">AY22*$G22</f>
        <v>315000</v>
      </c>
      <c r="BD22" s="22">
        <f t="shared" ref="BD22:BD23" si="386">SUM(AZ22:BC22)</f>
        <v>1177402.8</v>
      </c>
      <c r="BE22" s="23"/>
      <c r="BF22" s="24"/>
      <c r="BG22" s="21">
        <f t="shared" ref="BG22:BG23" si="387">BF22*$D22</f>
        <v>0</v>
      </c>
      <c r="BH22" s="21">
        <f t="shared" ref="BH22:BH23" si="388">BE22*$E22</f>
        <v>0</v>
      </c>
      <c r="BI22" s="21">
        <f t="shared" ref="BI22:BI23" si="389">BE22*$F22</f>
        <v>0</v>
      </c>
      <c r="BJ22" s="21">
        <f t="shared" ref="BJ22:BJ23" si="390">BF22*$G22</f>
        <v>0</v>
      </c>
      <c r="BK22" s="22">
        <f t="shared" ref="BK22:BK23" si="391">SUM(BG22:BJ22)</f>
        <v>0</v>
      </c>
      <c r="BL22" s="23"/>
      <c r="BM22" s="24"/>
      <c r="BN22" s="21">
        <f t="shared" ref="BN22:BN23" si="392">BM22*$D22</f>
        <v>0</v>
      </c>
      <c r="BO22" s="21">
        <f t="shared" ref="BO22:BO23" si="393">BL22*$E22</f>
        <v>0</v>
      </c>
      <c r="BP22" s="21">
        <f t="shared" ref="BP22:BP23" si="394">BL22*$F22</f>
        <v>0</v>
      </c>
      <c r="BQ22" s="21">
        <f t="shared" ref="BQ22:BQ23" si="395">BM22*$G22</f>
        <v>0</v>
      </c>
      <c r="BR22" s="22">
        <f t="shared" ref="BR22:BR23" si="396">SUM(BN22:BQ22)</f>
        <v>0</v>
      </c>
      <c r="BS22" s="23"/>
      <c r="BT22" s="24"/>
      <c r="BU22" s="21">
        <f t="shared" ref="BU22:BU23" si="397">BT22*$D22</f>
        <v>0</v>
      </c>
      <c r="BV22" s="21">
        <f t="shared" ref="BV22:BV23" si="398">BS22*$E22</f>
        <v>0</v>
      </c>
      <c r="BW22" s="21">
        <f t="shared" ref="BW22:BW23" si="399">BS22*$F22</f>
        <v>0</v>
      </c>
      <c r="BX22" s="21">
        <f t="shared" ref="BX22:BX23" si="400">BT22*$G22</f>
        <v>0</v>
      </c>
      <c r="BY22" s="22">
        <f t="shared" ref="BY22:BY23" si="401">SUM(BU22:BX22)</f>
        <v>0</v>
      </c>
      <c r="BZ22" s="23"/>
      <c r="CA22" s="24"/>
      <c r="CB22" s="21">
        <f t="shared" ref="CB22:CB23" si="402">CA22*$D22</f>
        <v>0</v>
      </c>
      <c r="CC22" s="21">
        <f t="shared" ref="CC22:CC23" si="403">BZ22*$E22</f>
        <v>0</v>
      </c>
      <c r="CD22" s="21">
        <f t="shared" ref="CD22:CD23" si="404">BZ22*$F22</f>
        <v>0</v>
      </c>
      <c r="CE22" s="21">
        <f t="shared" ref="CE22:CE23" si="405">CA22*$G22</f>
        <v>0</v>
      </c>
      <c r="CF22" s="22">
        <f t="shared" ref="CF22:CF23" si="406">SUM(CB22:CE22)</f>
        <v>0</v>
      </c>
      <c r="CG22" s="23"/>
      <c r="CH22" s="24"/>
      <c r="CI22" s="21">
        <f t="shared" ref="CI22:CI23" si="407">CH22*$D22</f>
        <v>0</v>
      </c>
      <c r="CJ22" s="21">
        <f t="shared" ref="CJ22:CJ23" si="408">CG22*$E22</f>
        <v>0</v>
      </c>
      <c r="CK22" s="21">
        <f t="shared" ref="CK22:CK23" si="409">CG22*$F22</f>
        <v>0</v>
      </c>
      <c r="CL22" s="21">
        <f t="shared" ref="CL22:CL23" si="410">CH22*$G22</f>
        <v>0</v>
      </c>
      <c r="CM22" s="22">
        <f t="shared" ref="CM22:CM23" si="411">SUM(CI22:CL22)</f>
        <v>0</v>
      </c>
      <c r="CN22" s="23"/>
      <c r="CO22" s="24"/>
      <c r="CP22" s="21">
        <f t="shared" ref="CP22:CP23" si="412">CO22*$D22</f>
        <v>0</v>
      </c>
      <c r="CQ22" s="21">
        <f t="shared" ref="CQ22:CQ23" si="413">CN22*$E22</f>
        <v>0</v>
      </c>
      <c r="CR22" s="21">
        <f t="shared" ref="CR22:CR23" si="414">CN22*$F22</f>
        <v>0</v>
      </c>
      <c r="CS22" s="21">
        <f t="shared" ref="CS22:CS23" si="415">CO22*$G22</f>
        <v>0</v>
      </c>
      <c r="CT22" s="22">
        <f t="shared" ref="CT22:CT23" si="416">SUM(CP22:CS22)</f>
        <v>0</v>
      </c>
    </row>
    <row r="23" spans="1:98" ht="24.75" customHeight="1">
      <c r="A23" s="83" t="s">
        <v>131</v>
      </c>
      <c r="B23" s="103"/>
      <c r="C23" s="18" t="s">
        <v>53</v>
      </c>
      <c r="D23" s="19">
        <v>2800</v>
      </c>
      <c r="E23" s="20">
        <v>6.15</v>
      </c>
      <c r="F23" s="21">
        <v>5</v>
      </c>
      <c r="G23" s="22">
        <v>15000</v>
      </c>
      <c r="H23" s="19">
        <f t="shared" si="350"/>
        <v>319176</v>
      </c>
      <c r="I23" s="21">
        <f t="shared" si="351"/>
        <v>93</v>
      </c>
      <c r="J23" s="21">
        <f t="shared" si="352"/>
        <v>260400</v>
      </c>
      <c r="K23" s="21">
        <f t="shared" si="353"/>
        <v>1962932.4000000004</v>
      </c>
      <c r="L23" s="21">
        <f t="shared" si="354"/>
        <v>1595880</v>
      </c>
      <c r="M23" s="21">
        <f t="shared" si="355"/>
        <v>1395000</v>
      </c>
      <c r="N23" s="22">
        <f t="shared" si="356"/>
        <v>5214212.4000000004</v>
      </c>
      <c r="O23" s="23"/>
      <c r="P23" s="24"/>
      <c r="Q23" s="21">
        <f t="shared" si="357"/>
        <v>0</v>
      </c>
      <c r="R23" s="21">
        <f t="shared" si="358"/>
        <v>0</v>
      </c>
      <c r="S23" s="21">
        <f t="shared" si="359"/>
        <v>0</v>
      </c>
      <c r="T23" s="21">
        <f t="shared" si="360"/>
        <v>0</v>
      </c>
      <c r="U23" s="22">
        <f t="shared" si="361"/>
        <v>0</v>
      </c>
      <c r="V23" s="47">
        <f t="shared" si="345"/>
        <v>6864</v>
      </c>
      <c r="W23" s="24">
        <v>2</v>
      </c>
      <c r="X23" s="21">
        <f t="shared" si="362"/>
        <v>5600</v>
      </c>
      <c r="Y23" s="21">
        <f t="shared" si="363"/>
        <v>42213.600000000006</v>
      </c>
      <c r="Z23" s="21">
        <f t="shared" si="364"/>
        <v>34320</v>
      </c>
      <c r="AA23" s="21">
        <f t="shared" si="365"/>
        <v>30000</v>
      </c>
      <c r="AB23" s="22">
        <f t="shared" si="366"/>
        <v>112133.6</v>
      </c>
      <c r="AC23" s="47">
        <f t="shared" si="346"/>
        <v>75504</v>
      </c>
      <c r="AD23" s="24">
        <v>22</v>
      </c>
      <c r="AE23" s="21">
        <f t="shared" si="367"/>
        <v>61600</v>
      </c>
      <c r="AF23" s="21">
        <f t="shared" si="368"/>
        <v>464349.60000000003</v>
      </c>
      <c r="AG23" s="21">
        <f t="shared" si="369"/>
        <v>377520</v>
      </c>
      <c r="AH23" s="21">
        <f t="shared" si="370"/>
        <v>330000</v>
      </c>
      <c r="AI23" s="22">
        <f t="shared" si="371"/>
        <v>1233469.6000000001</v>
      </c>
      <c r="AJ23" s="47">
        <f t="shared" si="347"/>
        <v>48048</v>
      </c>
      <c r="AK23" s="24">
        <v>14</v>
      </c>
      <c r="AL23" s="21">
        <f t="shared" si="372"/>
        <v>39200</v>
      </c>
      <c r="AM23" s="21">
        <f t="shared" si="373"/>
        <v>295495.2</v>
      </c>
      <c r="AN23" s="21">
        <f t="shared" si="374"/>
        <v>240240</v>
      </c>
      <c r="AO23" s="21">
        <f t="shared" si="375"/>
        <v>210000</v>
      </c>
      <c r="AP23" s="22">
        <f t="shared" si="376"/>
        <v>784935.2</v>
      </c>
      <c r="AQ23" s="47">
        <f t="shared" si="348"/>
        <v>75504</v>
      </c>
      <c r="AR23" s="24">
        <v>22</v>
      </c>
      <c r="AS23" s="21">
        <f t="shared" si="377"/>
        <v>61600</v>
      </c>
      <c r="AT23" s="21">
        <f t="shared" si="378"/>
        <v>464349.60000000003</v>
      </c>
      <c r="AU23" s="21">
        <f t="shared" si="379"/>
        <v>377520</v>
      </c>
      <c r="AV23" s="21">
        <f t="shared" si="380"/>
        <v>330000</v>
      </c>
      <c r="AW23" s="22">
        <f t="shared" si="381"/>
        <v>1233469.6000000001</v>
      </c>
      <c r="AX23" s="47">
        <f t="shared" si="349"/>
        <v>113256</v>
      </c>
      <c r="AY23" s="24">
        <v>33</v>
      </c>
      <c r="AZ23" s="21">
        <f t="shared" si="382"/>
        <v>92400</v>
      </c>
      <c r="BA23" s="21">
        <f t="shared" si="383"/>
        <v>696524.4</v>
      </c>
      <c r="BB23" s="21">
        <f t="shared" si="384"/>
        <v>566280</v>
      </c>
      <c r="BC23" s="21">
        <f t="shared" si="385"/>
        <v>495000</v>
      </c>
      <c r="BD23" s="22">
        <f t="shared" si="386"/>
        <v>1850204.4</v>
      </c>
      <c r="BE23" s="23"/>
      <c r="BF23" s="24"/>
      <c r="BG23" s="21">
        <f t="shared" si="387"/>
        <v>0</v>
      </c>
      <c r="BH23" s="21">
        <f t="shared" si="388"/>
        <v>0</v>
      </c>
      <c r="BI23" s="21">
        <f t="shared" si="389"/>
        <v>0</v>
      </c>
      <c r="BJ23" s="21">
        <f t="shared" si="390"/>
        <v>0</v>
      </c>
      <c r="BK23" s="22">
        <f t="shared" si="391"/>
        <v>0</v>
      </c>
      <c r="BL23" s="23"/>
      <c r="BM23" s="24"/>
      <c r="BN23" s="21">
        <f t="shared" si="392"/>
        <v>0</v>
      </c>
      <c r="BO23" s="21">
        <f t="shared" si="393"/>
        <v>0</v>
      </c>
      <c r="BP23" s="21">
        <f t="shared" si="394"/>
        <v>0</v>
      </c>
      <c r="BQ23" s="21">
        <f t="shared" si="395"/>
        <v>0</v>
      </c>
      <c r="BR23" s="22">
        <f t="shared" si="396"/>
        <v>0</v>
      </c>
      <c r="BS23" s="23"/>
      <c r="BT23" s="24"/>
      <c r="BU23" s="21">
        <f t="shared" si="397"/>
        <v>0</v>
      </c>
      <c r="BV23" s="21">
        <f t="shared" si="398"/>
        <v>0</v>
      </c>
      <c r="BW23" s="21">
        <f t="shared" si="399"/>
        <v>0</v>
      </c>
      <c r="BX23" s="21">
        <f t="shared" si="400"/>
        <v>0</v>
      </c>
      <c r="BY23" s="22">
        <f t="shared" si="401"/>
        <v>0</v>
      </c>
      <c r="BZ23" s="23"/>
      <c r="CA23" s="24"/>
      <c r="CB23" s="21">
        <f t="shared" si="402"/>
        <v>0</v>
      </c>
      <c r="CC23" s="21">
        <f t="shared" si="403"/>
        <v>0</v>
      </c>
      <c r="CD23" s="21">
        <f t="shared" si="404"/>
        <v>0</v>
      </c>
      <c r="CE23" s="21">
        <f t="shared" si="405"/>
        <v>0</v>
      </c>
      <c r="CF23" s="22">
        <f t="shared" si="406"/>
        <v>0</v>
      </c>
      <c r="CG23" s="23"/>
      <c r="CH23" s="24"/>
      <c r="CI23" s="21">
        <f t="shared" si="407"/>
        <v>0</v>
      </c>
      <c r="CJ23" s="21">
        <f t="shared" si="408"/>
        <v>0</v>
      </c>
      <c r="CK23" s="21">
        <f t="shared" si="409"/>
        <v>0</v>
      </c>
      <c r="CL23" s="21">
        <f t="shared" si="410"/>
        <v>0</v>
      </c>
      <c r="CM23" s="22">
        <f t="shared" si="411"/>
        <v>0</v>
      </c>
      <c r="CN23" s="23"/>
      <c r="CO23" s="24"/>
      <c r="CP23" s="21">
        <f t="shared" si="412"/>
        <v>0</v>
      </c>
      <c r="CQ23" s="21">
        <f t="shared" si="413"/>
        <v>0</v>
      </c>
      <c r="CR23" s="21">
        <f t="shared" si="414"/>
        <v>0</v>
      </c>
      <c r="CS23" s="21">
        <f t="shared" si="415"/>
        <v>0</v>
      </c>
      <c r="CT23" s="22">
        <f t="shared" si="416"/>
        <v>0</v>
      </c>
    </row>
    <row r="24" spans="1:98" ht="24.75" customHeight="1">
      <c r="A24" s="83" t="s">
        <v>132</v>
      </c>
      <c r="B24" s="102"/>
      <c r="C24" s="18" t="s">
        <v>36</v>
      </c>
      <c r="D24" s="19">
        <v>2800</v>
      </c>
      <c r="E24" s="20">
        <v>6.15</v>
      </c>
      <c r="F24" s="21">
        <v>5</v>
      </c>
      <c r="G24" s="22">
        <v>15000</v>
      </c>
      <c r="H24" s="19">
        <f t="shared" si="69"/>
        <v>229944</v>
      </c>
      <c r="I24" s="21">
        <f t="shared" si="70"/>
        <v>67</v>
      </c>
      <c r="J24" s="21">
        <f t="shared" si="71"/>
        <v>187600</v>
      </c>
      <c r="K24" s="21">
        <f t="shared" si="72"/>
        <v>1414155.6</v>
      </c>
      <c r="L24" s="21">
        <f t="shared" si="73"/>
        <v>1149720</v>
      </c>
      <c r="M24" s="21">
        <f t="shared" si="74"/>
        <v>1005000</v>
      </c>
      <c r="N24" s="22">
        <f t="shared" si="75"/>
        <v>3756475.6</v>
      </c>
      <c r="O24" s="47">
        <v>20592</v>
      </c>
      <c r="P24" s="24">
        <v>6</v>
      </c>
      <c r="Q24" s="21">
        <f t="shared" si="4"/>
        <v>16800</v>
      </c>
      <c r="R24" s="21">
        <f t="shared" si="5"/>
        <v>126640.8</v>
      </c>
      <c r="S24" s="21">
        <f t="shared" si="6"/>
        <v>102960</v>
      </c>
      <c r="T24" s="21">
        <f t="shared" si="7"/>
        <v>90000</v>
      </c>
      <c r="U24" s="22">
        <f t="shared" si="8"/>
        <v>336400.8</v>
      </c>
      <c r="V24" s="47">
        <f t="shared" si="345"/>
        <v>6864</v>
      </c>
      <c r="W24" s="24">
        <v>2</v>
      </c>
      <c r="X24" s="21">
        <f t="shared" si="10"/>
        <v>5600</v>
      </c>
      <c r="Y24" s="21">
        <f t="shared" si="11"/>
        <v>42213.600000000006</v>
      </c>
      <c r="Z24" s="21">
        <f t="shared" si="12"/>
        <v>34320</v>
      </c>
      <c r="AA24" s="21">
        <f t="shared" si="13"/>
        <v>30000</v>
      </c>
      <c r="AB24" s="22">
        <f t="shared" si="14"/>
        <v>112133.6</v>
      </c>
      <c r="AC24" s="47">
        <f t="shared" si="346"/>
        <v>34320</v>
      </c>
      <c r="AD24" s="24">
        <v>10</v>
      </c>
      <c r="AE24" s="21">
        <f t="shared" si="16"/>
        <v>28000</v>
      </c>
      <c r="AF24" s="21">
        <f t="shared" si="17"/>
        <v>211068</v>
      </c>
      <c r="AG24" s="21">
        <f t="shared" si="18"/>
        <v>171600</v>
      </c>
      <c r="AH24" s="21">
        <f t="shared" si="19"/>
        <v>150000</v>
      </c>
      <c r="AI24" s="22">
        <f t="shared" si="20"/>
        <v>560668</v>
      </c>
      <c r="AJ24" s="47">
        <f t="shared" si="347"/>
        <v>27456</v>
      </c>
      <c r="AK24" s="24">
        <v>8</v>
      </c>
      <c r="AL24" s="21">
        <f t="shared" si="22"/>
        <v>22400</v>
      </c>
      <c r="AM24" s="21">
        <f t="shared" si="23"/>
        <v>168854.40000000002</v>
      </c>
      <c r="AN24" s="21">
        <f t="shared" si="24"/>
        <v>137280</v>
      </c>
      <c r="AO24" s="21">
        <f t="shared" si="25"/>
        <v>120000</v>
      </c>
      <c r="AP24" s="22">
        <f t="shared" si="26"/>
        <v>448534.4</v>
      </c>
      <c r="AQ24" s="47">
        <f t="shared" si="348"/>
        <v>54912</v>
      </c>
      <c r="AR24" s="24">
        <v>16</v>
      </c>
      <c r="AS24" s="21">
        <f t="shared" si="28"/>
        <v>44800</v>
      </c>
      <c r="AT24" s="21">
        <f t="shared" si="29"/>
        <v>337708.80000000005</v>
      </c>
      <c r="AU24" s="21">
        <f t="shared" si="30"/>
        <v>274560</v>
      </c>
      <c r="AV24" s="21">
        <f t="shared" si="31"/>
        <v>240000</v>
      </c>
      <c r="AW24" s="22">
        <f t="shared" si="32"/>
        <v>897068.8</v>
      </c>
      <c r="AX24" s="47">
        <f t="shared" si="349"/>
        <v>85800</v>
      </c>
      <c r="AY24" s="24">
        <v>25</v>
      </c>
      <c r="AZ24" s="21">
        <f t="shared" si="34"/>
        <v>70000</v>
      </c>
      <c r="BA24" s="21">
        <f t="shared" si="35"/>
        <v>527670</v>
      </c>
      <c r="BB24" s="21">
        <f t="shared" si="36"/>
        <v>429000</v>
      </c>
      <c r="BC24" s="21">
        <f t="shared" si="37"/>
        <v>375000</v>
      </c>
      <c r="BD24" s="22">
        <f t="shared" si="38"/>
        <v>1401670</v>
      </c>
      <c r="BE24" s="23"/>
      <c r="BF24" s="24"/>
      <c r="BG24" s="21">
        <f t="shared" si="39"/>
        <v>0</v>
      </c>
      <c r="BH24" s="21">
        <f t="shared" si="40"/>
        <v>0</v>
      </c>
      <c r="BI24" s="21">
        <f t="shared" si="41"/>
        <v>0</v>
      </c>
      <c r="BJ24" s="21">
        <f t="shared" si="42"/>
        <v>0</v>
      </c>
      <c r="BK24" s="22">
        <f t="shared" si="43"/>
        <v>0</v>
      </c>
      <c r="BL24" s="23"/>
      <c r="BM24" s="24"/>
      <c r="BN24" s="21">
        <f t="shared" si="44"/>
        <v>0</v>
      </c>
      <c r="BO24" s="21">
        <f t="shared" si="45"/>
        <v>0</v>
      </c>
      <c r="BP24" s="21">
        <f t="shared" si="46"/>
        <v>0</v>
      </c>
      <c r="BQ24" s="21">
        <f t="shared" si="47"/>
        <v>0</v>
      </c>
      <c r="BR24" s="22">
        <f t="shared" si="48"/>
        <v>0</v>
      </c>
      <c r="BS24" s="23"/>
      <c r="BT24" s="24"/>
      <c r="BU24" s="21">
        <f t="shared" si="49"/>
        <v>0</v>
      </c>
      <c r="BV24" s="21">
        <f t="shared" si="50"/>
        <v>0</v>
      </c>
      <c r="BW24" s="21">
        <f t="shared" si="51"/>
        <v>0</v>
      </c>
      <c r="BX24" s="21">
        <f t="shared" si="52"/>
        <v>0</v>
      </c>
      <c r="BY24" s="22">
        <f t="shared" si="53"/>
        <v>0</v>
      </c>
      <c r="BZ24" s="23"/>
      <c r="CA24" s="24"/>
      <c r="CB24" s="21">
        <f t="shared" si="54"/>
        <v>0</v>
      </c>
      <c r="CC24" s="21">
        <f t="shared" si="55"/>
        <v>0</v>
      </c>
      <c r="CD24" s="21">
        <f t="shared" si="56"/>
        <v>0</v>
      </c>
      <c r="CE24" s="21">
        <f t="shared" si="57"/>
        <v>0</v>
      </c>
      <c r="CF24" s="22">
        <f t="shared" si="58"/>
        <v>0</v>
      </c>
      <c r="CG24" s="23"/>
      <c r="CH24" s="24"/>
      <c r="CI24" s="21">
        <f t="shared" si="59"/>
        <v>0</v>
      </c>
      <c r="CJ24" s="21">
        <f t="shared" si="60"/>
        <v>0</v>
      </c>
      <c r="CK24" s="21">
        <f t="shared" si="61"/>
        <v>0</v>
      </c>
      <c r="CL24" s="21">
        <f t="shared" si="62"/>
        <v>0</v>
      </c>
      <c r="CM24" s="22">
        <f t="shared" si="63"/>
        <v>0</v>
      </c>
      <c r="CN24" s="23"/>
      <c r="CO24" s="24"/>
      <c r="CP24" s="21">
        <f t="shared" si="64"/>
        <v>0</v>
      </c>
      <c r="CQ24" s="21">
        <f t="shared" si="65"/>
        <v>0</v>
      </c>
      <c r="CR24" s="21">
        <f t="shared" si="66"/>
        <v>0</v>
      </c>
      <c r="CS24" s="21">
        <f t="shared" si="67"/>
        <v>0</v>
      </c>
      <c r="CT24" s="22">
        <f t="shared" si="68"/>
        <v>0</v>
      </c>
    </row>
    <row r="25" spans="1:98" ht="24.75" customHeight="1">
      <c r="A25" s="83" t="s">
        <v>133</v>
      </c>
      <c r="B25" s="102"/>
      <c r="C25" s="18" t="s">
        <v>37</v>
      </c>
      <c r="D25" s="19">
        <v>2800</v>
      </c>
      <c r="E25" s="20">
        <v>6.15</v>
      </c>
      <c r="F25" s="21">
        <v>5</v>
      </c>
      <c r="G25" s="22">
        <v>15000</v>
      </c>
      <c r="H25" s="19">
        <f t="shared" si="69"/>
        <v>92664</v>
      </c>
      <c r="I25" s="21">
        <f t="shared" si="70"/>
        <v>27</v>
      </c>
      <c r="J25" s="21">
        <f t="shared" si="71"/>
        <v>75600</v>
      </c>
      <c r="K25" s="21">
        <f t="shared" si="72"/>
        <v>569883.60000000009</v>
      </c>
      <c r="L25" s="21">
        <f t="shared" si="73"/>
        <v>463320</v>
      </c>
      <c r="M25" s="21">
        <f t="shared" si="74"/>
        <v>405000</v>
      </c>
      <c r="N25" s="22">
        <f t="shared" si="75"/>
        <v>1513803.6</v>
      </c>
      <c r="O25" s="47">
        <v>13728</v>
      </c>
      <c r="P25" s="24">
        <v>4</v>
      </c>
      <c r="Q25" s="21">
        <f t="shared" si="4"/>
        <v>11200</v>
      </c>
      <c r="R25" s="21">
        <f t="shared" si="5"/>
        <v>84427.200000000012</v>
      </c>
      <c r="S25" s="21">
        <f t="shared" si="6"/>
        <v>68640</v>
      </c>
      <c r="T25" s="21">
        <f t="shared" si="7"/>
        <v>60000</v>
      </c>
      <c r="U25" s="22">
        <f t="shared" si="8"/>
        <v>224267.2</v>
      </c>
      <c r="V25" s="47">
        <f t="shared" si="345"/>
        <v>0</v>
      </c>
      <c r="W25" s="24"/>
      <c r="X25" s="21">
        <f t="shared" si="10"/>
        <v>0</v>
      </c>
      <c r="Y25" s="21">
        <f t="shared" si="11"/>
        <v>0</v>
      </c>
      <c r="Z25" s="21">
        <f t="shared" si="12"/>
        <v>0</v>
      </c>
      <c r="AA25" s="21">
        <f t="shared" si="13"/>
        <v>0</v>
      </c>
      <c r="AB25" s="22">
        <f t="shared" si="14"/>
        <v>0</v>
      </c>
      <c r="AC25" s="47">
        <f t="shared" si="346"/>
        <v>30888</v>
      </c>
      <c r="AD25" s="24">
        <v>9</v>
      </c>
      <c r="AE25" s="21">
        <f t="shared" si="16"/>
        <v>25200</v>
      </c>
      <c r="AF25" s="21">
        <f t="shared" si="17"/>
        <v>189961.2</v>
      </c>
      <c r="AG25" s="21">
        <f t="shared" si="18"/>
        <v>154440</v>
      </c>
      <c r="AH25" s="21">
        <f t="shared" si="19"/>
        <v>135000</v>
      </c>
      <c r="AI25" s="22">
        <f t="shared" si="20"/>
        <v>504601.2</v>
      </c>
      <c r="AJ25" s="47">
        <f t="shared" si="347"/>
        <v>3432</v>
      </c>
      <c r="AK25" s="24">
        <v>1</v>
      </c>
      <c r="AL25" s="21">
        <f t="shared" si="22"/>
        <v>2800</v>
      </c>
      <c r="AM25" s="21">
        <f t="shared" si="23"/>
        <v>21106.800000000003</v>
      </c>
      <c r="AN25" s="21">
        <f t="shared" si="24"/>
        <v>17160</v>
      </c>
      <c r="AO25" s="21">
        <f t="shared" si="25"/>
        <v>15000</v>
      </c>
      <c r="AP25" s="22">
        <f t="shared" si="26"/>
        <v>56066.8</v>
      </c>
      <c r="AQ25" s="47">
        <f t="shared" si="348"/>
        <v>30888</v>
      </c>
      <c r="AR25" s="24">
        <v>9</v>
      </c>
      <c r="AS25" s="21">
        <f t="shared" si="28"/>
        <v>25200</v>
      </c>
      <c r="AT25" s="21">
        <f t="shared" si="29"/>
        <v>189961.2</v>
      </c>
      <c r="AU25" s="21">
        <f t="shared" si="30"/>
        <v>154440</v>
      </c>
      <c r="AV25" s="21">
        <f t="shared" si="31"/>
        <v>135000</v>
      </c>
      <c r="AW25" s="22">
        <f t="shared" si="32"/>
        <v>504601.2</v>
      </c>
      <c r="AX25" s="47">
        <f t="shared" si="349"/>
        <v>13728</v>
      </c>
      <c r="AY25" s="24">
        <v>4</v>
      </c>
      <c r="AZ25" s="21">
        <f t="shared" si="34"/>
        <v>11200</v>
      </c>
      <c r="BA25" s="21">
        <f t="shared" si="35"/>
        <v>84427.200000000012</v>
      </c>
      <c r="BB25" s="21">
        <f t="shared" si="36"/>
        <v>68640</v>
      </c>
      <c r="BC25" s="21">
        <f t="shared" si="37"/>
        <v>60000</v>
      </c>
      <c r="BD25" s="22">
        <f t="shared" si="38"/>
        <v>224267.2</v>
      </c>
      <c r="BE25" s="23"/>
      <c r="BF25" s="24"/>
      <c r="BG25" s="21">
        <f t="shared" si="39"/>
        <v>0</v>
      </c>
      <c r="BH25" s="21">
        <f t="shared" si="40"/>
        <v>0</v>
      </c>
      <c r="BI25" s="21">
        <f t="shared" si="41"/>
        <v>0</v>
      </c>
      <c r="BJ25" s="21">
        <f t="shared" si="42"/>
        <v>0</v>
      </c>
      <c r="BK25" s="22">
        <f t="shared" si="43"/>
        <v>0</v>
      </c>
      <c r="BL25" s="23"/>
      <c r="BM25" s="24"/>
      <c r="BN25" s="21">
        <f t="shared" si="44"/>
        <v>0</v>
      </c>
      <c r="BO25" s="21">
        <f t="shared" si="45"/>
        <v>0</v>
      </c>
      <c r="BP25" s="21">
        <f t="shared" si="46"/>
        <v>0</v>
      </c>
      <c r="BQ25" s="21">
        <f t="shared" si="47"/>
        <v>0</v>
      </c>
      <c r="BR25" s="22">
        <f t="shared" si="48"/>
        <v>0</v>
      </c>
      <c r="BS25" s="23"/>
      <c r="BT25" s="24"/>
      <c r="BU25" s="21">
        <f t="shared" si="49"/>
        <v>0</v>
      </c>
      <c r="BV25" s="21">
        <f t="shared" si="50"/>
        <v>0</v>
      </c>
      <c r="BW25" s="21">
        <f t="shared" si="51"/>
        <v>0</v>
      </c>
      <c r="BX25" s="21">
        <f t="shared" si="52"/>
        <v>0</v>
      </c>
      <c r="BY25" s="22">
        <f t="shared" si="53"/>
        <v>0</v>
      </c>
      <c r="BZ25" s="23"/>
      <c r="CA25" s="24"/>
      <c r="CB25" s="21">
        <f t="shared" si="54"/>
        <v>0</v>
      </c>
      <c r="CC25" s="21">
        <f t="shared" si="55"/>
        <v>0</v>
      </c>
      <c r="CD25" s="21">
        <f t="shared" si="56"/>
        <v>0</v>
      </c>
      <c r="CE25" s="21">
        <f t="shared" si="57"/>
        <v>0</v>
      </c>
      <c r="CF25" s="22">
        <f t="shared" si="58"/>
        <v>0</v>
      </c>
      <c r="CG25" s="23"/>
      <c r="CH25" s="24"/>
      <c r="CI25" s="21">
        <f t="shared" si="59"/>
        <v>0</v>
      </c>
      <c r="CJ25" s="21">
        <f t="shared" si="60"/>
        <v>0</v>
      </c>
      <c r="CK25" s="21">
        <f t="shared" si="61"/>
        <v>0</v>
      </c>
      <c r="CL25" s="21">
        <f t="shared" si="62"/>
        <v>0</v>
      </c>
      <c r="CM25" s="22">
        <f t="shared" si="63"/>
        <v>0</v>
      </c>
      <c r="CN25" s="23"/>
      <c r="CO25" s="24"/>
      <c r="CP25" s="21">
        <f t="shared" si="64"/>
        <v>0</v>
      </c>
      <c r="CQ25" s="21">
        <f t="shared" si="65"/>
        <v>0</v>
      </c>
      <c r="CR25" s="21">
        <f t="shared" si="66"/>
        <v>0</v>
      </c>
      <c r="CS25" s="21">
        <f t="shared" si="67"/>
        <v>0</v>
      </c>
      <c r="CT25" s="22">
        <f t="shared" si="68"/>
        <v>0</v>
      </c>
    </row>
    <row r="26" spans="1:98" ht="24.75" customHeight="1">
      <c r="A26" s="83" t="s">
        <v>134</v>
      </c>
      <c r="B26" s="102"/>
      <c r="C26" s="18" t="s">
        <v>38</v>
      </c>
      <c r="D26" s="19">
        <v>2800</v>
      </c>
      <c r="E26" s="20">
        <v>6.15</v>
      </c>
      <c r="F26" s="21">
        <v>5</v>
      </c>
      <c r="G26" s="22">
        <v>15000</v>
      </c>
      <c r="H26" s="19">
        <f t="shared" si="69"/>
        <v>195624</v>
      </c>
      <c r="I26" s="21">
        <f t="shared" si="70"/>
        <v>57</v>
      </c>
      <c r="J26" s="21">
        <f t="shared" si="71"/>
        <v>159600</v>
      </c>
      <c r="K26" s="21">
        <f t="shared" si="72"/>
        <v>1203087.6000000001</v>
      </c>
      <c r="L26" s="21">
        <f t="shared" si="73"/>
        <v>978120</v>
      </c>
      <c r="M26" s="21">
        <f t="shared" si="74"/>
        <v>855000</v>
      </c>
      <c r="N26" s="22">
        <f t="shared" si="75"/>
        <v>3195807.5999999996</v>
      </c>
      <c r="O26" s="47">
        <v>34320</v>
      </c>
      <c r="P26" s="24">
        <v>10</v>
      </c>
      <c r="Q26" s="21">
        <f t="shared" si="4"/>
        <v>28000</v>
      </c>
      <c r="R26" s="21">
        <f t="shared" si="5"/>
        <v>211068</v>
      </c>
      <c r="S26" s="21">
        <f t="shared" si="6"/>
        <v>171600</v>
      </c>
      <c r="T26" s="21">
        <f t="shared" si="7"/>
        <v>150000</v>
      </c>
      <c r="U26" s="22">
        <f t="shared" si="8"/>
        <v>560668</v>
      </c>
      <c r="V26" s="47">
        <f t="shared" si="345"/>
        <v>30888</v>
      </c>
      <c r="W26" s="24">
        <v>9</v>
      </c>
      <c r="X26" s="21">
        <f t="shared" si="10"/>
        <v>25200</v>
      </c>
      <c r="Y26" s="21">
        <f t="shared" si="11"/>
        <v>189961.2</v>
      </c>
      <c r="Z26" s="21">
        <f t="shared" si="12"/>
        <v>154440</v>
      </c>
      <c r="AA26" s="21">
        <f t="shared" si="13"/>
        <v>135000</v>
      </c>
      <c r="AB26" s="22">
        <f t="shared" si="14"/>
        <v>504601.2</v>
      </c>
      <c r="AC26" s="47">
        <f t="shared" si="346"/>
        <v>30888</v>
      </c>
      <c r="AD26" s="24">
        <v>9</v>
      </c>
      <c r="AE26" s="21">
        <f t="shared" si="16"/>
        <v>25200</v>
      </c>
      <c r="AF26" s="21">
        <f t="shared" si="17"/>
        <v>189961.2</v>
      </c>
      <c r="AG26" s="21">
        <f t="shared" si="18"/>
        <v>154440</v>
      </c>
      <c r="AH26" s="21">
        <f t="shared" si="19"/>
        <v>135000</v>
      </c>
      <c r="AI26" s="22">
        <f t="shared" si="20"/>
        <v>504601.2</v>
      </c>
      <c r="AJ26" s="47">
        <f t="shared" si="347"/>
        <v>24024</v>
      </c>
      <c r="AK26" s="24">
        <v>7</v>
      </c>
      <c r="AL26" s="21">
        <f t="shared" si="22"/>
        <v>19600</v>
      </c>
      <c r="AM26" s="21">
        <f t="shared" si="23"/>
        <v>147747.6</v>
      </c>
      <c r="AN26" s="21">
        <f t="shared" si="24"/>
        <v>120120</v>
      </c>
      <c r="AO26" s="21">
        <f t="shared" si="25"/>
        <v>105000</v>
      </c>
      <c r="AP26" s="22">
        <f t="shared" si="26"/>
        <v>392467.6</v>
      </c>
      <c r="AQ26" s="47">
        <f t="shared" si="348"/>
        <v>37752</v>
      </c>
      <c r="AR26" s="24">
        <v>11</v>
      </c>
      <c r="AS26" s="21">
        <f t="shared" si="28"/>
        <v>30800</v>
      </c>
      <c r="AT26" s="21">
        <f t="shared" si="29"/>
        <v>232174.80000000002</v>
      </c>
      <c r="AU26" s="21">
        <f t="shared" si="30"/>
        <v>188760</v>
      </c>
      <c r="AV26" s="21">
        <f t="shared" si="31"/>
        <v>165000</v>
      </c>
      <c r="AW26" s="22">
        <f t="shared" si="32"/>
        <v>616734.80000000005</v>
      </c>
      <c r="AX26" s="47">
        <f t="shared" si="349"/>
        <v>37752</v>
      </c>
      <c r="AY26" s="24">
        <v>11</v>
      </c>
      <c r="AZ26" s="21">
        <f t="shared" si="34"/>
        <v>30800</v>
      </c>
      <c r="BA26" s="21">
        <f t="shared" si="35"/>
        <v>232174.80000000002</v>
      </c>
      <c r="BB26" s="21">
        <f t="shared" si="36"/>
        <v>188760</v>
      </c>
      <c r="BC26" s="21">
        <f t="shared" si="37"/>
        <v>165000</v>
      </c>
      <c r="BD26" s="22">
        <f t="shared" si="38"/>
        <v>616734.80000000005</v>
      </c>
      <c r="BE26" s="23"/>
      <c r="BF26" s="24"/>
      <c r="BG26" s="21">
        <f t="shared" si="39"/>
        <v>0</v>
      </c>
      <c r="BH26" s="21">
        <f t="shared" si="40"/>
        <v>0</v>
      </c>
      <c r="BI26" s="21">
        <f t="shared" si="41"/>
        <v>0</v>
      </c>
      <c r="BJ26" s="21">
        <f t="shared" si="42"/>
        <v>0</v>
      </c>
      <c r="BK26" s="22">
        <f t="shared" si="43"/>
        <v>0</v>
      </c>
      <c r="BL26" s="23"/>
      <c r="BM26" s="24"/>
      <c r="BN26" s="21">
        <f t="shared" si="44"/>
        <v>0</v>
      </c>
      <c r="BO26" s="21">
        <f t="shared" si="45"/>
        <v>0</v>
      </c>
      <c r="BP26" s="21">
        <f t="shared" si="46"/>
        <v>0</v>
      </c>
      <c r="BQ26" s="21">
        <f t="shared" si="47"/>
        <v>0</v>
      </c>
      <c r="BR26" s="22">
        <f t="shared" si="48"/>
        <v>0</v>
      </c>
      <c r="BS26" s="23"/>
      <c r="BT26" s="24"/>
      <c r="BU26" s="21">
        <f t="shared" si="49"/>
        <v>0</v>
      </c>
      <c r="BV26" s="21">
        <f t="shared" si="50"/>
        <v>0</v>
      </c>
      <c r="BW26" s="21">
        <f t="shared" si="51"/>
        <v>0</v>
      </c>
      <c r="BX26" s="21">
        <f t="shared" si="52"/>
        <v>0</v>
      </c>
      <c r="BY26" s="22">
        <f t="shared" si="53"/>
        <v>0</v>
      </c>
      <c r="BZ26" s="23"/>
      <c r="CA26" s="24"/>
      <c r="CB26" s="21">
        <f t="shared" si="54"/>
        <v>0</v>
      </c>
      <c r="CC26" s="21">
        <f t="shared" si="55"/>
        <v>0</v>
      </c>
      <c r="CD26" s="21">
        <f t="shared" si="56"/>
        <v>0</v>
      </c>
      <c r="CE26" s="21">
        <f t="shared" si="57"/>
        <v>0</v>
      </c>
      <c r="CF26" s="22">
        <f t="shared" si="58"/>
        <v>0</v>
      </c>
      <c r="CG26" s="23"/>
      <c r="CH26" s="24"/>
      <c r="CI26" s="21">
        <f t="shared" si="59"/>
        <v>0</v>
      </c>
      <c r="CJ26" s="21">
        <f t="shared" si="60"/>
        <v>0</v>
      </c>
      <c r="CK26" s="21">
        <f t="shared" si="61"/>
        <v>0</v>
      </c>
      <c r="CL26" s="21">
        <f t="shared" si="62"/>
        <v>0</v>
      </c>
      <c r="CM26" s="22">
        <f t="shared" si="63"/>
        <v>0</v>
      </c>
      <c r="CN26" s="23"/>
      <c r="CO26" s="24"/>
      <c r="CP26" s="21">
        <f t="shared" si="64"/>
        <v>0</v>
      </c>
      <c r="CQ26" s="21">
        <f t="shared" si="65"/>
        <v>0</v>
      </c>
      <c r="CR26" s="21">
        <f t="shared" si="66"/>
        <v>0</v>
      </c>
      <c r="CS26" s="21">
        <f t="shared" si="67"/>
        <v>0</v>
      </c>
      <c r="CT26" s="22">
        <f t="shared" si="68"/>
        <v>0</v>
      </c>
    </row>
    <row r="27" spans="1:98" ht="24.75" customHeight="1">
      <c r="A27" s="83" t="s">
        <v>135</v>
      </c>
      <c r="B27" s="102"/>
      <c r="C27" s="18" t="s">
        <v>39</v>
      </c>
      <c r="D27" s="19">
        <v>2800</v>
      </c>
      <c r="E27" s="20">
        <v>6.15</v>
      </c>
      <c r="F27" s="21">
        <v>5</v>
      </c>
      <c r="G27" s="22">
        <v>15000</v>
      </c>
      <c r="H27" s="19">
        <f t="shared" si="69"/>
        <v>202488</v>
      </c>
      <c r="I27" s="21">
        <f t="shared" si="70"/>
        <v>59</v>
      </c>
      <c r="J27" s="21">
        <f t="shared" si="71"/>
        <v>165200</v>
      </c>
      <c r="K27" s="21">
        <f t="shared" si="72"/>
        <v>1245301.2000000002</v>
      </c>
      <c r="L27" s="21">
        <f t="shared" si="73"/>
        <v>1012440</v>
      </c>
      <c r="M27" s="21">
        <f t="shared" si="74"/>
        <v>885000</v>
      </c>
      <c r="N27" s="22">
        <f t="shared" si="75"/>
        <v>3307941.2</v>
      </c>
      <c r="O27" s="47">
        <v>44616</v>
      </c>
      <c r="P27" s="24">
        <v>13</v>
      </c>
      <c r="Q27" s="21">
        <f t="shared" si="4"/>
        <v>36400</v>
      </c>
      <c r="R27" s="21">
        <f t="shared" si="5"/>
        <v>274388.40000000002</v>
      </c>
      <c r="S27" s="21">
        <f t="shared" si="6"/>
        <v>223080</v>
      </c>
      <c r="T27" s="21">
        <f t="shared" si="7"/>
        <v>195000</v>
      </c>
      <c r="U27" s="22">
        <f t="shared" si="8"/>
        <v>728868.4</v>
      </c>
      <c r="V27" s="47">
        <f t="shared" si="345"/>
        <v>10296</v>
      </c>
      <c r="W27" s="24">
        <v>3</v>
      </c>
      <c r="X27" s="21">
        <f t="shared" si="10"/>
        <v>8400</v>
      </c>
      <c r="Y27" s="21">
        <f t="shared" si="11"/>
        <v>63320.4</v>
      </c>
      <c r="Z27" s="21">
        <f t="shared" si="12"/>
        <v>51480</v>
      </c>
      <c r="AA27" s="21">
        <f t="shared" si="13"/>
        <v>45000</v>
      </c>
      <c r="AB27" s="22">
        <f t="shared" si="14"/>
        <v>168200.4</v>
      </c>
      <c r="AC27" s="47">
        <f t="shared" si="346"/>
        <v>10296</v>
      </c>
      <c r="AD27" s="24">
        <v>3</v>
      </c>
      <c r="AE27" s="21">
        <f t="shared" si="16"/>
        <v>8400</v>
      </c>
      <c r="AF27" s="21">
        <f t="shared" si="17"/>
        <v>63320.4</v>
      </c>
      <c r="AG27" s="21">
        <f t="shared" si="18"/>
        <v>51480</v>
      </c>
      <c r="AH27" s="21">
        <f t="shared" si="19"/>
        <v>45000</v>
      </c>
      <c r="AI27" s="22">
        <f t="shared" si="20"/>
        <v>168200.4</v>
      </c>
      <c r="AJ27" s="47">
        <f t="shared" si="347"/>
        <v>34320</v>
      </c>
      <c r="AK27" s="24">
        <v>10</v>
      </c>
      <c r="AL27" s="21">
        <f t="shared" si="22"/>
        <v>28000</v>
      </c>
      <c r="AM27" s="21">
        <f t="shared" si="23"/>
        <v>211068</v>
      </c>
      <c r="AN27" s="21">
        <f t="shared" si="24"/>
        <v>171600</v>
      </c>
      <c r="AO27" s="21">
        <f t="shared" si="25"/>
        <v>150000</v>
      </c>
      <c r="AP27" s="22">
        <f t="shared" si="26"/>
        <v>560668</v>
      </c>
      <c r="AQ27" s="47">
        <f t="shared" si="348"/>
        <v>61776</v>
      </c>
      <c r="AR27" s="24">
        <v>18</v>
      </c>
      <c r="AS27" s="21">
        <f t="shared" si="28"/>
        <v>50400</v>
      </c>
      <c r="AT27" s="21">
        <f t="shared" si="29"/>
        <v>379922.4</v>
      </c>
      <c r="AU27" s="21">
        <f t="shared" si="30"/>
        <v>308880</v>
      </c>
      <c r="AV27" s="21">
        <f t="shared" si="31"/>
        <v>270000</v>
      </c>
      <c r="AW27" s="22">
        <f t="shared" si="32"/>
        <v>1009202.4</v>
      </c>
      <c r="AX27" s="47">
        <f t="shared" si="349"/>
        <v>41184</v>
      </c>
      <c r="AY27" s="24">
        <v>12</v>
      </c>
      <c r="AZ27" s="21">
        <f t="shared" si="34"/>
        <v>33600</v>
      </c>
      <c r="BA27" s="21">
        <f t="shared" si="35"/>
        <v>253281.6</v>
      </c>
      <c r="BB27" s="21">
        <f t="shared" si="36"/>
        <v>205920</v>
      </c>
      <c r="BC27" s="21">
        <f t="shared" si="37"/>
        <v>180000</v>
      </c>
      <c r="BD27" s="22">
        <f t="shared" si="38"/>
        <v>672801.6</v>
      </c>
      <c r="BE27" s="23"/>
      <c r="BF27" s="24"/>
      <c r="BG27" s="21">
        <f t="shared" si="39"/>
        <v>0</v>
      </c>
      <c r="BH27" s="21">
        <f t="shared" si="40"/>
        <v>0</v>
      </c>
      <c r="BI27" s="21">
        <f t="shared" si="41"/>
        <v>0</v>
      </c>
      <c r="BJ27" s="21">
        <f t="shared" si="42"/>
        <v>0</v>
      </c>
      <c r="BK27" s="22">
        <f t="shared" si="43"/>
        <v>0</v>
      </c>
      <c r="BL27" s="23"/>
      <c r="BM27" s="24"/>
      <c r="BN27" s="21">
        <f t="shared" si="44"/>
        <v>0</v>
      </c>
      <c r="BO27" s="21">
        <f t="shared" si="45"/>
        <v>0</v>
      </c>
      <c r="BP27" s="21">
        <f t="shared" si="46"/>
        <v>0</v>
      </c>
      <c r="BQ27" s="21">
        <f t="shared" si="47"/>
        <v>0</v>
      </c>
      <c r="BR27" s="22">
        <f t="shared" si="48"/>
        <v>0</v>
      </c>
      <c r="BS27" s="23"/>
      <c r="BT27" s="24"/>
      <c r="BU27" s="21">
        <f t="shared" si="49"/>
        <v>0</v>
      </c>
      <c r="BV27" s="21">
        <f t="shared" si="50"/>
        <v>0</v>
      </c>
      <c r="BW27" s="21">
        <f t="shared" si="51"/>
        <v>0</v>
      </c>
      <c r="BX27" s="21">
        <f t="shared" si="52"/>
        <v>0</v>
      </c>
      <c r="BY27" s="22">
        <f t="shared" si="53"/>
        <v>0</v>
      </c>
      <c r="BZ27" s="23"/>
      <c r="CA27" s="24"/>
      <c r="CB27" s="21">
        <f t="shared" si="54"/>
        <v>0</v>
      </c>
      <c r="CC27" s="21">
        <f t="shared" si="55"/>
        <v>0</v>
      </c>
      <c r="CD27" s="21">
        <f t="shared" si="56"/>
        <v>0</v>
      </c>
      <c r="CE27" s="21">
        <f t="shared" si="57"/>
        <v>0</v>
      </c>
      <c r="CF27" s="22">
        <f t="shared" si="58"/>
        <v>0</v>
      </c>
      <c r="CG27" s="23"/>
      <c r="CH27" s="24"/>
      <c r="CI27" s="21">
        <f t="shared" si="59"/>
        <v>0</v>
      </c>
      <c r="CJ27" s="21">
        <f t="shared" si="60"/>
        <v>0</v>
      </c>
      <c r="CK27" s="21">
        <f t="shared" si="61"/>
        <v>0</v>
      </c>
      <c r="CL27" s="21">
        <f t="shared" si="62"/>
        <v>0</v>
      </c>
      <c r="CM27" s="22">
        <f t="shared" si="63"/>
        <v>0</v>
      </c>
      <c r="CN27" s="23"/>
      <c r="CO27" s="24"/>
      <c r="CP27" s="21">
        <f t="shared" si="64"/>
        <v>0</v>
      </c>
      <c r="CQ27" s="21">
        <f t="shared" si="65"/>
        <v>0</v>
      </c>
      <c r="CR27" s="21">
        <f t="shared" si="66"/>
        <v>0</v>
      </c>
      <c r="CS27" s="21">
        <f t="shared" si="67"/>
        <v>0</v>
      </c>
      <c r="CT27" s="22">
        <f t="shared" si="68"/>
        <v>0</v>
      </c>
    </row>
    <row r="28" spans="1:98" ht="24.75" customHeight="1">
      <c r="A28" s="83" t="s">
        <v>136</v>
      </c>
      <c r="B28" s="102"/>
      <c r="C28" s="18" t="s">
        <v>40</v>
      </c>
      <c r="D28" s="19">
        <v>2800</v>
      </c>
      <c r="E28" s="20">
        <v>6.15</v>
      </c>
      <c r="F28" s="21">
        <v>5</v>
      </c>
      <c r="G28" s="22">
        <v>15000</v>
      </c>
      <c r="H28" s="19">
        <f t="shared" si="69"/>
        <v>10296</v>
      </c>
      <c r="I28" s="21">
        <f t="shared" si="70"/>
        <v>3</v>
      </c>
      <c r="J28" s="21">
        <f t="shared" si="71"/>
        <v>8400</v>
      </c>
      <c r="K28" s="21">
        <f t="shared" si="72"/>
        <v>63320.400000000009</v>
      </c>
      <c r="L28" s="21">
        <f t="shared" si="73"/>
        <v>51480</v>
      </c>
      <c r="M28" s="21">
        <f t="shared" si="74"/>
        <v>45000</v>
      </c>
      <c r="N28" s="22">
        <f t="shared" si="75"/>
        <v>168200.40000000002</v>
      </c>
      <c r="O28" s="47">
        <v>3432</v>
      </c>
      <c r="P28" s="24">
        <v>1</v>
      </c>
      <c r="Q28" s="21">
        <f t="shared" si="4"/>
        <v>2800</v>
      </c>
      <c r="R28" s="21">
        <f t="shared" si="5"/>
        <v>21106.800000000003</v>
      </c>
      <c r="S28" s="21">
        <f t="shared" si="6"/>
        <v>17160</v>
      </c>
      <c r="T28" s="21">
        <f t="shared" si="7"/>
        <v>15000</v>
      </c>
      <c r="U28" s="22">
        <f t="shared" si="8"/>
        <v>56066.8</v>
      </c>
      <c r="V28" s="47">
        <f t="shared" si="345"/>
        <v>0</v>
      </c>
      <c r="W28" s="24"/>
      <c r="X28" s="21">
        <f t="shared" si="10"/>
        <v>0</v>
      </c>
      <c r="Y28" s="21">
        <f t="shared" si="11"/>
        <v>0</v>
      </c>
      <c r="Z28" s="21">
        <f t="shared" si="12"/>
        <v>0</v>
      </c>
      <c r="AA28" s="21">
        <f t="shared" si="13"/>
        <v>0</v>
      </c>
      <c r="AB28" s="22">
        <f t="shared" si="14"/>
        <v>0</v>
      </c>
      <c r="AC28" s="47">
        <f t="shared" si="346"/>
        <v>3432</v>
      </c>
      <c r="AD28" s="24">
        <v>1</v>
      </c>
      <c r="AE28" s="21">
        <f t="shared" si="16"/>
        <v>2800</v>
      </c>
      <c r="AF28" s="21">
        <f t="shared" si="17"/>
        <v>21106.800000000003</v>
      </c>
      <c r="AG28" s="21">
        <f t="shared" si="18"/>
        <v>17160</v>
      </c>
      <c r="AH28" s="21">
        <f t="shared" si="19"/>
        <v>15000</v>
      </c>
      <c r="AI28" s="22">
        <f t="shared" si="20"/>
        <v>56066.8</v>
      </c>
      <c r="AJ28" s="47">
        <f t="shared" si="347"/>
        <v>0</v>
      </c>
      <c r="AK28" s="24"/>
      <c r="AL28" s="21">
        <f t="shared" si="22"/>
        <v>0</v>
      </c>
      <c r="AM28" s="21">
        <f t="shared" si="23"/>
        <v>0</v>
      </c>
      <c r="AN28" s="21">
        <f t="shared" si="24"/>
        <v>0</v>
      </c>
      <c r="AO28" s="21">
        <f t="shared" si="25"/>
        <v>0</v>
      </c>
      <c r="AP28" s="22">
        <f t="shared" si="26"/>
        <v>0</v>
      </c>
      <c r="AQ28" s="47">
        <f t="shared" si="348"/>
        <v>0</v>
      </c>
      <c r="AR28" s="24"/>
      <c r="AS28" s="21">
        <f t="shared" si="28"/>
        <v>0</v>
      </c>
      <c r="AT28" s="21">
        <f t="shared" si="29"/>
        <v>0</v>
      </c>
      <c r="AU28" s="21">
        <f t="shared" si="30"/>
        <v>0</v>
      </c>
      <c r="AV28" s="21">
        <f t="shared" si="31"/>
        <v>0</v>
      </c>
      <c r="AW28" s="22">
        <f t="shared" si="32"/>
        <v>0</v>
      </c>
      <c r="AX28" s="47">
        <f t="shared" si="349"/>
        <v>3432</v>
      </c>
      <c r="AY28" s="24">
        <v>1</v>
      </c>
      <c r="AZ28" s="21">
        <f t="shared" si="34"/>
        <v>2800</v>
      </c>
      <c r="BA28" s="21">
        <f t="shared" si="35"/>
        <v>21106.800000000003</v>
      </c>
      <c r="BB28" s="21">
        <f t="shared" si="36"/>
        <v>17160</v>
      </c>
      <c r="BC28" s="21">
        <f t="shared" si="37"/>
        <v>15000</v>
      </c>
      <c r="BD28" s="22">
        <f t="shared" si="38"/>
        <v>56066.8</v>
      </c>
      <c r="BE28" s="23"/>
      <c r="BF28" s="24"/>
      <c r="BG28" s="21">
        <f t="shared" si="39"/>
        <v>0</v>
      </c>
      <c r="BH28" s="21">
        <f t="shared" si="40"/>
        <v>0</v>
      </c>
      <c r="BI28" s="21">
        <f t="shared" si="41"/>
        <v>0</v>
      </c>
      <c r="BJ28" s="21">
        <f t="shared" si="42"/>
        <v>0</v>
      </c>
      <c r="BK28" s="22">
        <f t="shared" si="43"/>
        <v>0</v>
      </c>
      <c r="BL28" s="23"/>
      <c r="BM28" s="24"/>
      <c r="BN28" s="21">
        <f t="shared" si="44"/>
        <v>0</v>
      </c>
      <c r="BO28" s="21">
        <f t="shared" si="45"/>
        <v>0</v>
      </c>
      <c r="BP28" s="21">
        <f t="shared" si="46"/>
        <v>0</v>
      </c>
      <c r="BQ28" s="21">
        <f t="shared" si="47"/>
        <v>0</v>
      </c>
      <c r="BR28" s="22">
        <f t="shared" si="48"/>
        <v>0</v>
      </c>
      <c r="BS28" s="23"/>
      <c r="BT28" s="24"/>
      <c r="BU28" s="21">
        <f t="shared" si="49"/>
        <v>0</v>
      </c>
      <c r="BV28" s="21">
        <f t="shared" si="50"/>
        <v>0</v>
      </c>
      <c r="BW28" s="21">
        <f t="shared" si="51"/>
        <v>0</v>
      </c>
      <c r="BX28" s="21">
        <f t="shared" si="52"/>
        <v>0</v>
      </c>
      <c r="BY28" s="22">
        <f t="shared" si="53"/>
        <v>0</v>
      </c>
      <c r="BZ28" s="23"/>
      <c r="CA28" s="24"/>
      <c r="CB28" s="21">
        <f t="shared" si="54"/>
        <v>0</v>
      </c>
      <c r="CC28" s="21">
        <f t="shared" si="55"/>
        <v>0</v>
      </c>
      <c r="CD28" s="21">
        <f t="shared" si="56"/>
        <v>0</v>
      </c>
      <c r="CE28" s="21">
        <f t="shared" si="57"/>
        <v>0</v>
      </c>
      <c r="CF28" s="22">
        <f t="shared" si="58"/>
        <v>0</v>
      </c>
      <c r="CG28" s="23"/>
      <c r="CH28" s="24"/>
      <c r="CI28" s="21">
        <f t="shared" si="59"/>
        <v>0</v>
      </c>
      <c r="CJ28" s="21">
        <f t="shared" si="60"/>
        <v>0</v>
      </c>
      <c r="CK28" s="21">
        <f t="shared" si="61"/>
        <v>0</v>
      </c>
      <c r="CL28" s="21">
        <f t="shared" si="62"/>
        <v>0</v>
      </c>
      <c r="CM28" s="22">
        <f t="shared" si="63"/>
        <v>0</v>
      </c>
      <c r="CN28" s="23"/>
      <c r="CO28" s="24"/>
      <c r="CP28" s="21">
        <f t="shared" si="64"/>
        <v>0</v>
      </c>
      <c r="CQ28" s="21">
        <f t="shared" si="65"/>
        <v>0</v>
      </c>
      <c r="CR28" s="21">
        <f t="shared" si="66"/>
        <v>0</v>
      </c>
      <c r="CS28" s="21">
        <f t="shared" si="67"/>
        <v>0</v>
      </c>
      <c r="CT28" s="22">
        <f t="shared" si="68"/>
        <v>0</v>
      </c>
    </row>
    <row r="29" spans="1:98" ht="24.75" customHeight="1">
      <c r="A29" s="83" t="s">
        <v>137</v>
      </c>
      <c r="B29" s="102"/>
      <c r="C29" s="18" t="s">
        <v>41</v>
      </c>
      <c r="D29" s="19">
        <v>2800</v>
      </c>
      <c r="E29" s="20">
        <v>6.15</v>
      </c>
      <c r="F29" s="21">
        <v>5</v>
      </c>
      <c r="G29" s="22">
        <v>15000</v>
      </c>
      <c r="H29" s="19">
        <f t="shared" si="69"/>
        <v>17160</v>
      </c>
      <c r="I29" s="21">
        <f t="shared" si="70"/>
        <v>5</v>
      </c>
      <c r="J29" s="21">
        <f t="shared" si="71"/>
        <v>14000</v>
      </c>
      <c r="K29" s="21">
        <f t="shared" si="72"/>
        <v>105534</v>
      </c>
      <c r="L29" s="21">
        <f t="shared" si="73"/>
        <v>85800</v>
      </c>
      <c r="M29" s="21">
        <f t="shared" si="74"/>
        <v>75000</v>
      </c>
      <c r="N29" s="22">
        <f t="shared" si="75"/>
        <v>280334</v>
      </c>
      <c r="O29" s="23"/>
      <c r="P29" s="24"/>
      <c r="Q29" s="21">
        <f t="shared" si="4"/>
        <v>0</v>
      </c>
      <c r="R29" s="21">
        <f t="shared" si="5"/>
        <v>0</v>
      </c>
      <c r="S29" s="21">
        <f t="shared" si="6"/>
        <v>0</v>
      </c>
      <c r="T29" s="21">
        <f t="shared" si="7"/>
        <v>0</v>
      </c>
      <c r="U29" s="22">
        <f t="shared" si="8"/>
        <v>0</v>
      </c>
      <c r="V29" s="23"/>
      <c r="W29" s="24"/>
      <c r="X29" s="21">
        <f t="shared" si="10"/>
        <v>0</v>
      </c>
      <c r="Y29" s="21">
        <f t="shared" si="11"/>
        <v>0</v>
      </c>
      <c r="Z29" s="21">
        <f t="shared" si="12"/>
        <v>0</v>
      </c>
      <c r="AA29" s="21">
        <f t="shared" si="13"/>
        <v>0</v>
      </c>
      <c r="AB29" s="22">
        <f t="shared" si="14"/>
        <v>0</v>
      </c>
      <c r="AC29" s="23">
        <f t="shared" si="346"/>
        <v>10296</v>
      </c>
      <c r="AD29" s="24">
        <v>3</v>
      </c>
      <c r="AE29" s="21">
        <f t="shared" si="16"/>
        <v>8400</v>
      </c>
      <c r="AF29" s="21">
        <f t="shared" si="17"/>
        <v>63320.4</v>
      </c>
      <c r="AG29" s="21">
        <f t="shared" si="18"/>
        <v>51480</v>
      </c>
      <c r="AH29" s="21">
        <f t="shared" si="19"/>
        <v>45000</v>
      </c>
      <c r="AI29" s="22">
        <f t="shared" si="20"/>
        <v>168200.4</v>
      </c>
      <c r="AJ29" s="23">
        <f t="shared" si="347"/>
        <v>6864</v>
      </c>
      <c r="AK29" s="24">
        <v>2</v>
      </c>
      <c r="AL29" s="21">
        <f t="shared" si="22"/>
        <v>5600</v>
      </c>
      <c r="AM29" s="21">
        <f t="shared" si="23"/>
        <v>42213.600000000006</v>
      </c>
      <c r="AN29" s="21">
        <f t="shared" si="24"/>
        <v>34320</v>
      </c>
      <c r="AO29" s="21">
        <f t="shared" si="25"/>
        <v>30000</v>
      </c>
      <c r="AP29" s="22">
        <f t="shared" si="26"/>
        <v>112133.6</v>
      </c>
      <c r="AQ29" s="23">
        <f t="shared" si="348"/>
        <v>0</v>
      </c>
      <c r="AR29" s="24"/>
      <c r="AS29" s="21">
        <f t="shared" si="28"/>
        <v>0</v>
      </c>
      <c r="AT29" s="21">
        <f t="shared" si="29"/>
        <v>0</v>
      </c>
      <c r="AU29" s="21">
        <f t="shared" si="30"/>
        <v>0</v>
      </c>
      <c r="AV29" s="21">
        <f t="shared" si="31"/>
        <v>0</v>
      </c>
      <c r="AW29" s="22">
        <f t="shared" si="32"/>
        <v>0</v>
      </c>
      <c r="AX29" s="23">
        <f t="shared" si="349"/>
        <v>0</v>
      </c>
      <c r="AY29" s="24"/>
      <c r="AZ29" s="21">
        <f t="shared" si="34"/>
        <v>0</v>
      </c>
      <c r="BA29" s="21">
        <f t="shared" si="35"/>
        <v>0</v>
      </c>
      <c r="BB29" s="21">
        <f t="shared" si="36"/>
        <v>0</v>
      </c>
      <c r="BC29" s="21">
        <f t="shared" si="37"/>
        <v>0</v>
      </c>
      <c r="BD29" s="22">
        <f t="shared" si="38"/>
        <v>0</v>
      </c>
      <c r="BE29" s="23"/>
      <c r="BF29" s="24"/>
      <c r="BG29" s="21">
        <f t="shared" si="39"/>
        <v>0</v>
      </c>
      <c r="BH29" s="21">
        <f t="shared" si="40"/>
        <v>0</v>
      </c>
      <c r="BI29" s="21">
        <f t="shared" si="41"/>
        <v>0</v>
      </c>
      <c r="BJ29" s="21">
        <f t="shared" si="42"/>
        <v>0</v>
      </c>
      <c r="BK29" s="22">
        <f t="shared" si="43"/>
        <v>0</v>
      </c>
      <c r="BL29" s="23"/>
      <c r="BM29" s="24"/>
      <c r="BN29" s="21">
        <f t="shared" si="44"/>
        <v>0</v>
      </c>
      <c r="BO29" s="21">
        <f t="shared" si="45"/>
        <v>0</v>
      </c>
      <c r="BP29" s="21">
        <f t="shared" si="46"/>
        <v>0</v>
      </c>
      <c r="BQ29" s="21">
        <f t="shared" si="47"/>
        <v>0</v>
      </c>
      <c r="BR29" s="22">
        <f t="shared" si="48"/>
        <v>0</v>
      </c>
      <c r="BS29" s="23"/>
      <c r="BT29" s="24"/>
      <c r="BU29" s="21">
        <f t="shared" si="49"/>
        <v>0</v>
      </c>
      <c r="BV29" s="21">
        <f t="shared" si="50"/>
        <v>0</v>
      </c>
      <c r="BW29" s="21">
        <f t="shared" si="51"/>
        <v>0</v>
      </c>
      <c r="BX29" s="21">
        <f t="shared" si="52"/>
        <v>0</v>
      </c>
      <c r="BY29" s="22">
        <f t="shared" si="53"/>
        <v>0</v>
      </c>
      <c r="BZ29" s="23"/>
      <c r="CA29" s="24"/>
      <c r="CB29" s="21">
        <f t="shared" si="54"/>
        <v>0</v>
      </c>
      <c r="CC29" s="21">
        <f t="shared" si="55"/>
        <v>0</v>
      </c>
      <c r="CD29" s="21">
        <f t="shared" si="56"/>
        <v>0</v>
      </c>
      <c r="CE29" s="21">
        <f t="shared" si="57"/>
        <v>0</v>
      </c>
      <c r="CF29" s="22">
        <f t="shared" si="58"/>
        <v>0</v>
      </c>
      <c r="CG29" s="23"/>
      <c r="CH29" s="24"/>
      <c r="CI29" s="21">
        <f t="shared" si="59"/>
        <v>0</v>
      </c>
      <c r="CJ29" s="21">
        <f t="shared" si="60"/>
        <v>0</v>
      </c>
      <c r="CK29" s="21">
        <f t="shared" si="61"/>
        <v>0</v>
      </c>
      <c r="CL29" s="21">
        <f t="shared" si="62"/>
        <v>0</v>
      </c>
      <c r="CM29" s="22">
        <f t="shared" si="63"/>
        <v>0</v>
      </c>
      <c r="CN29" s="23"/>
      <c r="CO29" s="24"/>
      <c r="CP29" s="21">
        <f t="shared" si="64"/>
        <v>0</v>
      </c>
      <c r="CQ29" s="21">
        <f t="shared" si="65"/>
        <v>0</v>
      </c>
      <c r="CR29" s="21">
        <f t="shared" si="66"/>
        <v>0</v>
      </c>
      <c r="CS29" s="21">
        <f t="shared" si="67"/>
        <v>0</v>
      </c>
      <c r="CT29" s="22">
        <f t="shared" si="68"/>
        <v>0</v>
      </c>
    </row>
    <row r="30" spans="1:98" ht="24.75" customHeight="1">
      <c r="A30" s="83" t="s">
        <v>138</v>
      </c>
      <c r="B30" s="102"/>
      <c r="C30" s="18" t="s">
        <v>42</v>
      </c>
      <c r="D30" s="19">
        <v>2800</v>
      </c>
      <c r="E30" s="20">
        <v>6.15</v>
      </c>
      <c r="F30" s="21">
        <v>5</v>
      </c>
      <c r="G30" s="22">
        <v>15000</v>
      </c>
      <c r="H30" s="19">
        <f t="shared" si="69"/>
        <v>44616</v>
      </c>
      <c r="I30" s="21">
        <f t="shared" si="70"/>
        <v>13</v>
      </c>
      <c r="J30" s="21">
        <f t="shared" si="71"/>
        <v>36400</v>
      </c>
      <c r="K30" s="21">
        <f t="shared" si="72"/>
        <v>274388.40000000002</v>
      </c>
      <c r="L30" s="21">
        <f t="shared" si="73"/>
        <v>223080</v>
      </c>
      <c r="M30" s="21">
        <f t="shared" si="74"/>
        <v>195000</v>
      </c>
      <c r="N30" s="22">
        <f t="shared" si="75"/>
        <v>728868.4</v>
      </c>
      <c r="O30" s="47">
        <v>13728</v>
      </c>
      <c r="P30" s="24">
        <v>4</v>
      </c>
      <c r="Q30" s="21">
        <f t="shared" si="4"/>
        <v>11200</v>
      </c>
      <c r="R30" s="21">
        <f t="shared" si="5"/>
        <v>84427.200000000012</v>
      </c>
      <c r="S30" s="21">
        <f t="shared" si="6"/>
        <v>68640</v>
      </c>
      <c r="T30" s="21">
        <f t="shared" si="7"/>
        <v>60000</v>
      </c>
      <c r="U30" s="22">
        <f t="shared" si="8"/>
        <v>224267.2</v>
      </c>
      <c r="V30" s="47">
        <f>W30*3432</f>
        <v>3432</v>
      </c>
      <c r="W30" s="24">
        <v>1</v>
      </c>
      <c r="X30" s="21">
        <f t="shared" si="10"/>
        <v>2800</v>
      </c>
      <c r="Y30" s="21">
        <f t="shared" si="11"/>
        <v>21106.800000000003</v>
      </c>
      <c r="Z30" s="21">
        <f t="shared" si="12"/>
        <v>17160</v>
      </c>
      <c r="AA30" s="21">
        <f t="shared" si="13"/>
        <v>15000</v>
      </c>
      <c r="AB30" s="22">
        <f t="shared" si="14"/>
        <v>56066.8</v>
      </c>
      <c r="AC30" s="47">
        <f>AD30*3432</f>
        <v>13728</v>
      </c>
      <c r="AD30" s="24">
        <v>4</v>
      </c>
      <c r="AE30" s="21">
        <f t="shared" si="16"/>
        <v>11200</v>
      </c>
      <c r="AF30" s="21">
        <f t="shared" si="17"/>
        <v>84427.200000000012</v>
      </c>
      <c r="AG30" s="21">
        <f t="shared" si="18"/>
        <v>68640</v>
      </c>
      <c r="AH30" s="21">
        <f t="shared" si="19"/>
        <v>60000</v>
      </c>
      <c r="AI30" s="22">
        <f t="shared" si="20"/>
        <v>224267.2</v>
      </c>
      <c r="AJ30" s="47">
        <f>AK30*3432</f>
        <v>0</v>
      </c>
      <c r="AK30" s="24"/>
      <c r="AL30" s="21">
        <f t="shared" ref="AL30:AL34" si="417">AK30*$D30</f>
        <v>0</v>
      </c>
      <c r="AM30" s="21">
        <f t="shared" ref="AM30:AM34" si="418">AJ30*$E30</f>
        <v>0</v>
      </c>
      <c r="AN30" s="21">
        <f t="shared" ref="AN30:AN34" si="419">AJ30*$F30</f>
        <v>0</v>
      </c>
      <c r="AO30" s="21">
        <f t="shared" ref="AO30:AO34" si="420">AK30*$G30</f>
        <v>0</v>
      </c>
      <c r="AP30" s="22">
        <f t="shared" ref="AP30:AP34" si="421">SUM(AL30:AO30)</f>
        <v>0</v>
      </c>
      <c r="AQ30" s="47">
        <f>AR30*3432</f>
        <v>6864</v>
      </c>
      <c r="AR30" s="24">
        <v>2</v>
      </c>
      <c r="AS30" s="21">
        <f t="shared" si="28"/>
        <v>5600</v>
      </c>
      <c r="AT30" s="21">
        <f t="shared" si="29"/>
        <v>42213.600000000006</v>
      </c>
      <c r="AU30" s="21">
        <f t="shared" si="30"/>
        <v>34320</v>
      </c>
      <c r="AV30" s="21">
        <f t="shared" si="31"/>
        <v>30000</v>
      </c>
      <c r="AW30" s="22">
        <f t="shared" si="32"/>
        <v>112133.6</v>
      </c>
      <c r="AX30" s="47">
        <f>AY30*3432</f>
        <v>6864</v>
      </c>
      <c r="AY30" s="24">
        <v>2</v>
      </c>
      <c r="AZ30" s="21">
        <f t="shared" si="34"/>
        <v>5600</v>
      </c>
      <c r="BA30" s="21">
        <f t="shared" si="35"/>
        <v>42213.600000000006</v>
      </c>
      <c r="BB30" s="21">
        <f t="shared" si="36"/>
        <v>34320</v>
      </c>
      <c r="BC30" s="21">
        <f t="shared" si="37"/>
        <v>30000</v>
      </c>
      <c r="BD30" s="22">
        <f t="shared" si="38"/>
        <v>112133.6</v>
      </c>
      <c r="BE30" s="23"/>
      <c r="BF30" s="24"/>
      <c r="BG30" s="21">
        <f t="shared" si="39"/>
        <v>0</v>
      </c>
      <c r="BH30" s="21">
        <f t="shared" si="40"/>
        <v>0</v>
      </c>
      <c r="BI30" s="21">
        <f t="shared" si="41"/>
        <v>0</v>
      </c>
      <c r="BJ30" s="21">
        <f t="shared" si="42"/>
        <v>0</v>
      </c>
      <c r="BK30" s="22">
        <f t="shared" si="43"/>
        <v>0</v>
      </c>
      <c r="BL30" s="23"/>
      <c r="BM30" s="24"/>
      <c r="BN30" s="21">
        <f t="shared" si="44"/>
        <v>0</v>
      </c>
      <c r="BO30" s="21">
        <f t="shared" si="45"/>
        <v>0</v>
      </c>
      <c r="BP30" s="21">
        <f t="shared" si="46"/>
        <v>0</v>
      </c>
      <c r="BQ30" s="21">
        <f t="shared" si="47"/>
        <v>0</v>
      </c>
      <c r="BR30" s="22">
        <f t="shared" si="48"/>
        <v>0</v>
      </c>
      <c r="BS30" s="23"/>
      <c r="BT30" s="24"/>
      <c r="BU30" s="21">
        <f t="shared" si="49"/>
        <v>0</v>
      </c>
      <c r="BV30" s="21">
        <f t="shared" si="50"/>
        <v>0</v>
      </c>
      <c r="BW30" s="21">
        <f t="shared" si="51"/>
        <v>0</v>
      </c>
      <c r="BX30" s="21">
        <f t="shared" si="52"/>
        <v>0</v>
      </c>
      <c r="BY30" s="22">
        <f t="shared" si="53"/>
        <v>0</v>
      </c>
      <c r="BZ30" s="23"/>
      <c r="CA30" s="24"/>
      <c r="CB30" s="21">
        <f t="shared" si="54"/>
        <v>0</v>
      </c>
      <c r="CC30" s="21">
        <f t="shared" si="55"/>
        <v>0</v>
      </c>
      <c r="CD30" s="21">
        <f t="shared" si="56"/>
        <v>0</v>
      </c>
      <c r="CE30" s="21">
        <f t="shared" si="57"/>
        <v>0</v>
      </c>
      <c r="CF30" s="22">
        <f t="shared" si="58"/>
        <v>0</v>
      </c>
      <c r="CG30" s="23"/>
      <c r="CH30" s="24"/>
      <c r="CI30" s="21">
        <f t="shared" si="59"/>
        <v>0</v>
      </c>
      <c r="CJ30" s="21">
        <f t="shared" si="60"/>
        <v>0</v>
      </c>
      <c r="CK30" s="21">
        <f t="shared" si="61"/>
        <v>0</v>
      </c>
      <c r="CL30" s="21">
        <f t="shared" si="62"/>
        <v>0</v>
      </c>
      <c r="CM30" s="22">
        <f t="shared" si="63"/>
        <v>0</v>
      </c>
      <c r="CN30" s="23"/>
      <c r="CO30" s="24"/>
      <c r="CP30" s="21">
        <f t="shared" si="64"/>
        <v>0</v>
      </c>
      <c r="CQ30" s="21">
        <f t="shared" si="65"/>
        <v>0</v>
      </c>
      <c r="CR30" s="21">
        <f t="shared" si="66"/>
        <v>0</v>
      </c>
      <c r="CS30" s="21">
        <f t="shared" si="67"/>
        <v>0</v>
      </c>
      <c r="CT30" s="22">
        <f t="shared" si="68"/>
        <v>0</v>
      </c>
    </row>
    <row r="31" spans="1:98" ht="24.75" customHeight="1">
      <c r="A31" s="83" t="s">
        <v>139</v>
      </c>
      <c r="B31" s="103"/>
      <c r="C31" s="42" t="s">
        <v>100</v>
      </c>
      <c r="D31" s="19">
        <v>2800</v>
      </c>
      <c r="E31" s="20">
        <v>6.15</v>
      </c>
      <c r="F31" s="21">
        <v>5</v>
      </c>
      <c r="G31" s="22">
        <v>15000</v>
      </c>
      <c r="H31" s="19">
        <f t="shared" ref="H31:H34" si="422">O31+V31+AC31+AJ31+AQ31+AX31+BE31+BL31+BS31+BZ31+CG31+CN31</f>
        <v>41184</v>
      </c>
      <c r="I31" s="21">
        <f t="shared" ref="I31:I34" si="423">P31+W31+AD31+AK31+AR31+AY31+BF31+BM31+BT31+CA31+CH31+CO31</f>
        <v>12</v>
      </c>
      <c r="J31" s="21">
        <f t="shared" ref="J31:J34" si="424">Q31+X31+AE31+AL31+AS31+AZ31+BG31+BN31+BU31+CB31+CI31+CP31</f>
        <v>33600</v>
      </c>
      <c r="K31" s="21">
        <f t="shared" ref="K31:K34" si="425">R31+Y31+AF31+AM31+AT31+BA31+BH31+BO31+BV31+CC31+CJ31+CQ31</f>
        <v>253281.60000000003</v>
      </c>
      <c r="L31" s="21">
        <f t="shared" ref="L31:L34" si="426">S31+Z31+AG31+AN31+AU31+BB31+BI31+BP31+BW31+CD31+CK31+CR31</f>
        <v>205920</v>
      </c>
      <c r="M31" s="21">
        <f t="shared" ref="M31:M34" si="427">T31+AA31+AH31+AO31+AV31+BC31+BJ31+BQ31+BX31+CE31+CL31+CS31</f>
        <v>180000</v>
      </c>
      <c r="N31" s="22">
        <f t="shared" ref="N31:N34" si="428">U31+AB31+AI31+AP31+AW31+BD31+BK31+BR31+BY31+CF31+CM31+CT31</f>
        <v>672801.60000000009</v>
      </c>
      <c r="O31" s="47"/>
      <c r="P31" s="48"/>
      <c r="Q31" s="45"/>
      <c r="R31" s="45"/>
      <c r="S31" s="45"/>
      <c r="T31" s="45"/>
      <c r="U31" s="46"/>
      <c r="V31" s="47"/>
      <c r="W31" s="48"/>
      <c r="X31" s="45"/>
      <c r="Y31" s="45"/>
      <c r="Z31" s="45"/>
      <c r="AA31" s="45"/>
      <c r="AB31" s="46"/>
      <c r="AC31" s="47">
        <f>AD31*3432</f>
        <v>10296</v>
      </c>
      <c r="AD31" s="48">
        <v>3</v>
      </c>
      <c r="AE31" s="45">
        <f t="shared" si="16"/>
        <v>8400</v>
      </c>
      <c r="AF31" s="45">
        <f t="shared" si="17"/>
        <v>63320.4</v>
      </c>
      <c r="AG31" s="45">
        <f t="shared" si="18"/>
        <v>51480</v>
      </c>
      <c r="AH31" s="45">
        <f t="shared" si="19"/>
        <v>45000</v>
      </c>
      <c r="AI31" s="46">
        <f t="shared" si="20"/>
        <v>168200.4</v>
      </c>
      <c r="AJ31" s="47">
        <f>AK31*3432</f>
        <v>3432</v>
      </c>
      <c r="AK31" s="48">
        <v>1</v>
      </c>
      <c r="AL31" s="21">
        <f t="shared" si="417"/>
        <v>2800</v>
      </c>
      <c r="AM31" s="21">
        <f t="shared" si="418"/>
        <v>21106.800000000003</v>
      </c>
      <c r="AN31" s="21">
        <f t="shared" si="419"/>
        <v>17160</v>
      </c>
      <c r="AO31" s="21">
        <f t="shared" si="420"/>
        <v>15000</v>
      </c>
      <c r="AP31" s="22">
        <f t="shared" si="421"/>
        <v>56066.8</v>
      </c>
      <c r="AQ31" s="47">
        <f>AR31*3432</f>
        <v>6864</v>
      </c>
      <c r="AR31" s="48">
        <v>2</v>
      </c>
      <c r="AS31" s="21">
        <f t="shared" ref="AS31:AS35" si="429">AR31*$D31</f>
        <v>5600</v>
      </c>
      <c r="AT31" s="21">
        <f t="shared" ref="AT31:AT35" si="430">AQ31*$E31</f>
        <v>42213.600000000006</v>
      </c>
      <c r="AU31" s="21">
        <f t="shared" ref="AU31:AU35" si="431">AQ31*$F31</f>
        <v>34320</v>
      </c>
      <c r="AV31" s="21">
        <f t="shared" ref="AV31:AV35" si="432">AR31*$G31</f>
        <v>30000</v>
      </c>
      <c r="AW31" s="22">
        <f t="shared" ref="AW31:AW35" si="433">SUM(AS31:AV31)</f>
        <v>112133.6</v>
      </c>
      <c r="AX31" s="47">
        <f>AY31*3432</f>
        <v>20592</v>
      </c>
      <c r="AY31" s="48">
        <v>6</v>
      </c>
      <c r="AZ31" s="21">
        <f t="shared" ref="AZ31:AZ34" si="434">AY31*$D31</f>
        <v>16800</v>
      </c>
      <c r="BA31" s="21">
        <f t="shared" ref="BA31:BA34" si="435">AX31*$E31</f>
        <v>126640.8</v>
      </c>
      <c r="BB31" s="21">
        <f t="shared" ref="BB31:BB34" si="436">AX31*$F31</f>
        <v>102960</v>
      </c>
      <c r="BC31" s="21">
        <f t="shared" ref="BC31:BC34" si="437">AY31*$G31</f>
        <v>90000</v>
      </c>
      <c r="BD31" s="22">
        <f t="shared" ref="BD31:BD34" si="438">SUM(AZ31:BC31)</f>
        <v>336400.8</v>
      </c>
      <c r="BE31" s="47"/>
      <c r="BF31" s="48"/>
      <c r="BG31" s="45"/>
      <c r="BH31" s="45"/>
      <c r="BI31" s="45"/>
      <c r="BJ31" s="45"/>
      <c r="BK31" s="46"/>
      <c r="BL31" s="47"/>
      <c r="BM31" s="48"/>
      <c r="BN31" s="45"/>
      <c r="BO31" s="45"/>
      <c r="BP31" s="45"/>
      <c r="BQ31" s="45"/>
      <c r="BR31" s="46"/>
      <c r="BS31" s="47"/>
      <c r="BT31" s="48"/>
      <c r="BU31" s="45"/>
      <c r="BV31" s="45"/>
      <c r="BW31" s="45"/>
      <c r="BX31" s="45"/>
      <c r="BY31" s="46"/>
      <c r="BZ31" s="47"/>
      <c r="CA31" s="48"/>
      <c r="CB31" s="45"/>
      <c r="CC31" s="45"/>
      <c r="CD31" s="45"/>
      <c r="CE31" s="45"/>
      <c r="CF31" s="46"/>
      <c r="CG31" s="47"/>
      <c r="CH31" s="48"/>
      <c r="CI31" s="45"/>
      <c r="CJ31" s="45"/>
      <c r="CK31" s="45"/>
      <c r="CL31" s="45"/>
      <c r="CM31" s="46"/>
      <c r="CN31" s="47"/>
      <c r="CO31" s="48"/>
      <c r="CP31" s="45"/>
      <c r="CQ31" s="45"/>
      <c r="CR31" s="45"/>
      <c r="CS31" s="45"/>
      <c r="CT31" s="46"/>
    </row>
    <row r="32" spans="1:98" ht="24.75" customHeight="1">
      <c r="A32" s="83" t="s">
        <v>140</v>
      </c>
      <c r="B32" s="103"/>
      <c r="C32" s="42" t="s">
        <v>101</v>
      </c>
      <c r="D32" s="19">
        <v>2800</v>
      </c>
      <c r="E32" s="20">
        <v>6.15</v>
      </c>
      <c r="F32" s="21">
        <v>5</v>
      </c>
      <c r="G32" s="22">
        <v>15000</v>
      </c>
      <c r="H32" s="19">
        <f t="shared" si="422"/>
        <v>3432</v>
      </c>
      <c r="I32" s="21">
        <f t="shared" si="423"/>
        <v>1</v>
      </c>
      <c r="J32" s="21">
        <f t="shared" si="424"/>
        <v>2800</v>
      </c>
      <c r="K32" s="21">
        <f t="shared" si="425"/>
        <v>21106.800000000003</v>
      </c>
      <c r="L32" s="21">
        <f t="shared" si="426"/>
        <v>17160</v>
      </c>
      <c r="M32" s="21">
        <f t="shared" si="427"/>
        <v>15000</v>
      </c>
      <c r="N32" s="22">
        <f t="shared" si="428"/>
        <v>56066.8</v>
      </c>
      <c r="O32" s="47"/>
      <c r="P32" s="48"/>
      <c r="Q32" s="45"/>
      <c r="R32" s="45"/>
      <c r="S32" s="45"/>
      <c r="T32" s="45"/>
      <c r="U32" s="46"/>
      <c r="V32" s="47"/>
      <c r="W32" s="48"/>
      <c r="X32" s="45"/>
      <c r="Y32" s="45"/>
      <c r="Z32" s="45"/>
      <c r="AA32" s="45"/>
      <c r="AB32" s="46"/>
      <c r="AC32" s="47"/>
      <c r="AD32" s="48"/>
      <c r="AE32" s="45">
        <f t="shared" ref="AE32:AE35" si="439">AD32*$D32</f>
        <v>0</v>
      </c>
      <c r="AF32" s="45">
        <f t="shared" ref="AF32:AF35" si="440">AC32*$E32</f>
        <v>0</v>
      </c>
      <c r="AG32" s="45">
        <f t="shared" ref="AG32:AG35" si="441">AC32*$F32</f>
        <v>0</v>
      </c>
      <c r="AH32" s="45">
        <f t="shared" ref="AH32:AH35" si="442">AD32*$G32</f>
        <v>0</v>
      </c>
      <c r="AI32" s="46">
        <f t="shared" ref="AI32:AI35" si="443">SUM(AE32:AH32)</f>
        <v>0</v>
      </c>
      <c r="AJ32" s="47">
        <f>AK32*3432</f>
        <v>3432</v>
      </c>
      <c r="AK32" s="48">
        <v>1</v>
      </c>
      <c r="AL32" s="21">
        <f t="shared" si="417"/>
        <v>2800</v>
      </c>
      <c r="AM32" s="21">
        <f t="shared" si="418"/>
        <v>21106.800000000003</v>
      </c>
      <c r="AN32" s="21">
        <f t="shared" si="419"/>
        <v>17160</v>
      </c>
      <c r="AO32" s="21">
        <f t="shared" si="420"/>
        <v>15000</v>
      </c>
      <c r="AP32" s="22">
        <f t="shared" si="421"/>
        <v>56066.8</v>
      </c>
      <c r="AQ32" s="47">
        <f>AR32*3432</f>
        <v>0</v>
      </c>
      <c r="AR32" s="48"/>
      <c r="AS32" s="21">
        <f t="shared" si="429"/>
        <v>0</v>
      </c>
      <c r="AT32" s="21">
        <f t="shared" si="430"/>
        <v>0</v>
      </c>
      <c r="AU32" s="21">
        <f t="shared" si="431"/>
        <v>0</v>
      </c>
      <c r="AV32" s="21">
        <f t="shared" si="432"/>
        <v>0</v>
      </c>
      <c r="AW32" s="22">
        <f t="shared" si="433"/>
        <v>0</v>
      </c>
      <c r="AX32" s="47">
        <f>AY32*3432</f>
        <v>0</v>
      </c>
      <c r="AY32" s="48"/>
      <c r="AZ32" s="21">
        <f t="shared" si="434"/>
        <v>0</v>
      </c>
      <c r="BA32" s="21">
        <f t="shared" si="435"/>
        <v>0</v>
      </c>
      <c r="BB32" s="21">
        <f t="shared" si="436"/>
        <v>0</v>
      </c>
      <c r="BC32" s="21">
        <f t="shared" si="437"/>
        <v>0</v>
      </c>
      <c r="BD32" s="22">
        <f t="shared" si="438"/>
        <v>0</v>
      </c>
      <c r="BE32" s="47"/>
      <c r="BF32" s="48"/>
      <c r="BG32" s="45"/>
      <c r="BH32" s="45"/>
      <c r="BI32" s="45"/>
      <c r="BJ32" s="45"/>
      <c r="BK32" s="46"/>
      <c r="BL32" s="47"/>
      <c r="BM32" s="48"/>
      <c r="BN32" s="45"/>
      <c r="BO32" s="45"/>
      <c r="BP32" s="45"/>
      <c r="BQ32" s="45"/>
      <c r="BR32" s="46"/>
      <c r="BS32" s="47"/>
      <c r="BT32" s="48"/>
      <c r="BU32" s="45"/>
      <c r="BV32" s="45"/>
      <c r="BW32" s="45"/>
      <c r="BX32" s="45"/>
      <c r="BY32" s="46"/>
      <c r="BZ32" s="47"/>
      <c r="CA32" s="48"/>
      <c r="CB32" s="45"/>
      <c r="CC32" s="45"/>
      <c r="CD32" s="45"/>
      <c r="CE32" s="45"/>
      <c r="CF32" s="46"/>
      <c r="CG32" s="47"/>
      <c r="CH32" s="48"/>
      <c r="CI32" s="45"/>
      <c r="CJ32" s="45"/>
      <c r="CK32" s="45"/>
      <c r="CL32" s="45"/>
      <c r="CM32" s="46"/>
      <c r="CN32" s="47"/>
      <c r="CO32" s="48"/>
      <c r="CP32" s="45"/>
      <c r="CQ32" s="45"/>
      <c r="CR32" s="45"/>
      <c r="CS32" s="45"/>
      <c r="CT32" s="46"/>
    </row>
    <row r="33" spans="1:98" ht="24.75" customHeight="1">
      <c r="A33" s="83" t="s">
        <v>141</v>
      </c>
      <c r="B33" s="103"/>
      <c r="C33" s="42" t="s">
        <v>102</v>
      </c>
      <c r="D33" s="19">
        <v>2800</v>
      </c>
      <c r="E33" s="20">
        <v>6.15</v>
      </c>
      <c r="F33" s="21">
        <v>5</v>
      </c>
      <c r="G33" s="22">
        <v>15000</v>
      </c>
      <c r="H33" s="19">
        <f t="shared" si="422"/>
        <v>30888</v>
      </c>
      <c r="I33" s="21">
        <f t="shared" si="423"/>
        <v>9</v>
      </c>
      <c r="J33" s="21">
        <f t="shared" si="424"/>
        <v>25200</v>
      </c>
      <c r="K33" s="21">
        <f t="shared" si="425"/>
        <v>189961.2</v>
      </c>
      <c r="L33" s="21">
        <f t="shared" si="426"/>
        <v>154440</v>
      </c>
      <c r="M33" s="21">
        <f t="shared" si="427"/>
        <v>135000</v>
      </c>
      <c r="N33" s="22">
        <f t="shared" si="428"/>
        <v>504601.20000000007</v>
      </c>
      <c r="O33" s="47"/>
      <c r="P33" s="48"/>
      <c r="Q33" s="45"/>
      <c r="R33" s="45"/>
      <c r="S33" s="45"/>
      <c r="T33" s="45"/>
      <c r="U33" s="46"/>
      <c r="V33" s="47"/>
      <c r="W33" s="48"/>
      <c r="X33" s="45"/>
      <c r="Y33" s="45"/>
      <c r="Z33" s="45"/>
      <c r="AA33" s="45"/>
      <c r="AB33" s="46"/>
      <c r="AC33" s="47">
        <f>AD33*3432</f>
        <v>6864</v>
      </c>
      <c r="AD33" s="48">
        <v>2</v>
      </c>
      <c r="AE33" s="45">
        <f t="shared" si="439"/>
        <v>5600</v>
      </c>
      <c r="AF33" s="45">
        <f t="shared" si="440"/>
        <v>42213.600000000006</v>
      </c>
      <c r="AG33" s="45">
        <f t="shared" si="441"/>
        <v>34320</v>
      </c>
      <c r="AH33" s="45">
        <f t="shared" si="442"/>
        <v>30000</v>
      </c>
      <c r="AI33" s="46">
        <f t="shared" si="443"/>
        <v>112133.6</v>
      </c>
      <c r="AJ33" s="47">
        <f>AK33*3432</f>
        <v>6864</v>
      </c>
      <c r="AK33" s="48">
        <v>2</v>
      </c>
      <c r="AL33" s="21">
        <f t="shared" si="417"/>
        <v>5600</v>
      </c>
      <c r="AM33" s="21">
        <f t="shared" si="418"/>
        <v>42213.600000000006</v>
      </c>
      <c r="AN33" s="21">
        <f t="shared" si="419"/>
        <v>34320</v>
      </c>
      <c r="AO33" s="21">
        <f t="shared" si="420"/>
        <v>30000</v>
      </c>
      <c r="AP33" s="22">
        <f t="shared" si="421"/>
        <v>112133.6</v>
      </c>
      <c r="AQ33" s="47">
        <f>AR33*3432</f>
        <v>6864</v>
      </c>
      <c r="AR33" s="48">
        <v>2</v>
      </c>
      <c r="AS33" s="21">
        <f t="shared" si="429"/>
        <v>5600</v>
      </c>
      <c r="AT33" s="21">
        <f t="shared" si="430"/>
        <v>42213.600000000006</v>
      </c>
      <c r="AU33" s="21">
        <f t="shared" si="431"/>
        <v>34320</v>
      </c>
      <c r="AV33" s="21">
        <f t="shared" si="432"/>
        <v>30000</v>
      </c>
      <c r="AW33" s="22">
        <f t="shared" si="433"/>
        <v>112133.6</v>
      </c>
      <c r="AX33" s="47">
        <f>AY33*3432</f>
        <v>10296</v>
      </c>
      <c r="AY33" s="48">
        <v>3</v>
      </c>
      <c r="AZ33" s="21">
        <f t="shared" si="434"/>
        <v>8400</v>
      </c>
      <c r="BA33" s="21">
        <f t="shared" si="435"/>
        <v>63320.4</v>
      </c>
      <c r="BB33" s="21">
        <f t="shared" si="436"/>
        <v>51480</v>
      </c>
      <c r="BC33" s="21">
        <f t="shared" si="437"/>
        <v>45000</v>
      </c>
      <c r="BD33" s="22">
        <f t="shared" si="438"/>
        <v>168200.4</v>
      </c>
      <c r="BE33" s="47"/>
      <c r="BF33" s="48"/>
      <c r="BG33" s="45"/>
      <c r="BH33" s="45"/>
      <c r="BI33" s="45"/>
      <c r="BJ33" s="45"/>
      <c r="BK33" s="46"/>
      <c r="BL33" s="47"/>
      <c r="BM33" s="48"/>
      <c r="BN33" s="45"/>
      <c r="BO33" s="45"/>
      <c r="BP33" s="45"/>
      <c r="BQ33" s="45"/>
      <c r="BR33" s="46"/>
      <c r="BS33" s="47"/>
      <c r="BT33" s="48"/>
      <c r="BU33" s="45"/>
      <c r="BV33" s="45"/>
      <c r="BW33" s="45"/>
      <c r="BX33" s="45"/>
      <c r="BY33" s="46"/>
      <c r="BZ33" s="47"/>
      <c r="CA33" s="48"/>
      <c r="CB33" s="45"/>
      <c r="CC33" s="45"/>
      <c r="CD33" s="45"/>
      <c r="CE33" s="45"/>
      <c r="CF33" s="46"/>
      <c r="CG33" s="47"/>
      <c r="CH33" s="48"/>
      <c r="CI33" s="45"/>
      <c r="CJ33" s="45"/>
      <c r="CK33" s="45"/>
      <c r="CL33" s="45"/>
      <c r="CM33" s="46"/>
      <c r="CN33" s="47"/>
      <c r="CO33" s="48"/>
      <c r="CP33" s="45"/>
      <c r="CQ33" s="45"/>
      <c r="CR33" s="45"/>
      <c r="CS33" s="45"/>
      <c r="CT33" s="46"/>
    </row>
    <row r="34" spans="1:98" ht="24.75" customHeight="1">
      <c r="A34" s="83" t="s">
        <v>142</v>
      </c>
      <c r="B34" s="103"/>
      <c r="C34" s="42" t="s">
        <v>103</v>
      </c>
      <c r="D34" s="19">
        <v>2800</v>
      </c>
      <c r="E34" s="20">
        <v>6.15</v>
      </c>
      <c r="F34" s="21">
        <v>5</v>
      </c>
      <c r="G34" s="22">
        <v>15000</v>
      </c>
      <c r="H34" s="19">
        <f t="shared" si="422"/>
        <v>30888</v>
      </c>
      <c r="I34" s="21">
        <f t="shared" si="423"/>
        <v>9</v>
      </c>
      <c r="J34" s="21">
        <f t="shared" si="424"/>
        <v>25200</v>
      </c>
      <c r="K34" s="21">
        <f t="shared" si="425"/>
        <v>189961.2</v>
      </c>
      <c r="L34" s="21">
        <f t="shared" si="426"/>
        <v>154440</v>
      </c>
      <c r="M34" s="21">
        <f t="shared" si="427"/>
        <v>135000</v>
      </c>
      <c r="N34" s="22">
        <f t="shared" si="428"/>
        <v>504601.19999999995</v>
      </c>
      <c r="O34" s="47"/>
      <c r="P34" s="48"/>
      <c r="Q34" s="45"/>
      <c r="R34" s="45"/>
      <c r="S34" s="45"/>
      <c r="T34" s="45"/>
      <c r="U34" s="46"/>
      <c r="V34" s="47"/>
      <c r="W34" s="48"/>
      <c r="X34" s="45"/>
      <c r="Y34" s="45"/>
      <c r="Z34" s="45"/>
      <c r="AA34" s="45"/>
      <c r="AB34" s="46"/>
      <c r="AC34" s="47"/>
      <c r="AD34" s="48"/>
      <c r="AE34" s="45">
        <f t="shared" si="439"/>
        <v>0</v>
      </c>
      <c r="AF34" s="45">
        <f t="shared" si="440"/>
        <v>0</v>
      </c>
      <c r="AG34" s="45">
        <f t="shared" si="441"/>
        <v>0</v>
      </c>
      <c r="AH34" s="45">
        <f t="shared" si="442"/>
        <v>0</v>
      </c>
      <c r="AI34" s="46">
        <f t="shared" si="443"/>
        <v>0</v>
      </c>
      <c r="AJ34" s="47">
        <f>AK34*3432</f>
        <v>3432</v>
      </c>
      <c r="AK34" s="48">
        <v>1</v>
      </c>
      <c r="AL34" s="21">
        <f t="shared" si="417"/>
        <v>2800</v>
      </c>
      <c r="AM34" s="21">
        <f t="shared" si="418"/>
        <v>21106.800000000003</v>
      </c>
      <c r="AN34" s="21">
        <f t="shared" si="419"/>
        <v>17160</v>
      </c>
      <c r="AO34" s="21">
        <f t="shared" si="420"/>
        <v>15000</v>
      </c>
      <c r="AP34" s="22">
        <f t="shared" si="421"/>
        <v>56066.8</v>
      </c>
      <c r="AQ34" s="47">
        <f>AR34*3432</f>
        <v>17160</v>
      </c>
      <c r="AR34" s="48">
        <v>5</v>
      </c>
      <c r="AS34" s="21">
        <f t="shared" si="429"/>
        <v>14000</v>
      </c>
      <c r="AT34" s="21">
        <f t="shared" si="430"/>
        <v>105534</v>
      </c>
      <c r="AU34" s="21">
        <f t="shared" si="431"/>
        <v>85800</v>
      </c>
      <c r="AV34" s="21">
        <f t="shared" si="432"/>
        <v>75000</v>
      </c>
      <c r="AW34" s="22">
        <f t="shared" si="433"/>
        <v>280334</v>
      </c>
      <c r="AX34" s="47">
        <f>AY34*3432</f>
        <v>10296</v>
      </c>
      <c r="AY34" s="48">
        <v>3</v>
      </c>
      <c r="AZ34" s="21">
        <f t="shared" si="434"/>
        <v>8400</v>
      </c>
      <c r="BA34" s="21">
        <f t="shared" si="435"/>
        <v>63320.4</v>
      </c>
      <c r="BB34" s="21">
        <f t="shared" si="436"/>
        <v>51480</v>
      </c>
      <c r="BC34" s="21">
        <f t="shared" si="437"/>
        <v>45000</v>
      </c>
      <c r="BD34" s="22">
        <f t="shared" si="438"/>
        <v>168200.4</v>
      </c>
      <c r="BE34" s="47"/>
      <c r="BF34" s="48"/>
      <c r="BG34" s="45"/>
      <c r="BH34" s="45"/>
      <c r="BI34" s="45"/>
      <c r="BJ34" s="45"/>
      <c r="BK34" s="46"/>
      <c r="BL34" s="47"/>
      <c r="BM34" s="48"/>
      <c r="BN34" s="45"/>
      <c r="BO34" s="45"/>
      <c r="BP34" s="45"/>
      <c r="BQ34" s="45"/>
      <c r="BR34" s="46"/>
      <c r="BS34" s="47"/>
      <c r="BT34" s="48"/>
      <c r="BU34" s="45"/>
      <c r="BV34" s="45"/>
      <c r="BW34" s="45"/>
      <c r="BX34" s="45"/>
      <c r="BY34" s="46"/>
      <c r="BZ34" s="47"/>
      <c r="CA34" s="48"/>
      <c r="CB34" s="45"/>
      <c r="CC34" s="45"/>
      <c r="CD34" s="45"/>
      <c r="CE34" s="45"/>
      <c r="CF34" s="46"/>
      <c r="CG34" s="47"/>
      <c r="CH34" s="48"/>
      <c r="CI34" s="45"/>
      <c r="CJ34" s="45"/>
      <c r="CK34" s="45"/>
      <c r="CL34" s="45"/>
      <c r="CM34" s="46"/>
      <c r="CN34" s="47"/>
      <c r="CO34" s="48"/>
      <c r="CP34" s="45"/>
      <c r="CQ34" s="45"/>
      <c r="CR34" s="45"/>
      <c r="CS34" s="45"/>
      <c r="CT34" s="46"/>
    </row>
    <row r="35" spans="1:98" ht="24.75" customHeight="1">
      <c r="A35" s="83" t="s">
        <v>158</v>
      </c>
      <c r="B35" s="104"/>
      <c r="C35" s="25" t="s">
        <v>43</v>
      </c>
      <c r="D35" s="26">
        <v>2800</v>
      </c>
      <c r="E35" s="27">
        <v>55.92</v>
      </c>
      <c r="F35" s="28">
        <v>5</v>
      </c>
      <c r="G35" s="29">
        <v>15000</v>
      </c>
      <c r="H35" s="26">
        <f t="shared" si="69"/>
        <v>1728</v>
      </c>
      <c r="I35" s="28">
        <f t="shared" si="70"/>
        <v>6</v>
      </c>
      <c r="J35" s="28">
        <f t="shared" si="71"/>
        <v>16800</v>
      </c>
      <c r="K35" s="28">
        <f t="shared" si="72"/>
        <v>96629.760000000009</v>
      </c>
      <c r="L35" s="28">
        <f t="shared" si="73"/>
        <v>8640</v>
      </c>
      <c r="M35" s="28">
        <f t="shared" si="74"/>
        <v>90000</v>
      </c>
      <c r="N35" s="29">
        <f t="shared" si="75"/>
        <v>212069.76000000001</v>
      </c>
      <c r="O35" s="30">
        <v>1728</v>
      </c>
      <c r="P35" s="31">
        <v>6</v>
      </c>
      <c r="Q35" s="28">
        <f t="shared" si="4"/>
        <v>16800</v>
      </c>
      <c r="R35" s="28">
        <f t="shared" si="5"/>
        <v>96629.760000000009</v>
      </c>
      <c r="S35" s="28">
        <f t="shared" si="6"/>
        <v>8640</v>
      </c>
      <c r="T35" s="28">
        <f t="shared" si="7"/>
        <v>90000</v>
      </c>
      <c r="U35" s="29">
        <f t="shared" si="8"/>
        <v>212069.76000000001</v>
      </c>
      <c r="V35" s="30">
        <f>W35*288</f>
        <v>0</v>
      </c>
      <c r="W35" s="31"/>
      <c r="X35" s="28">
        <f t="shared" si="10"/>
        <v>0</v>
      </c>
      <c r="Y35" s="28">
        <f t="shared" si="11"/>
        <v>0</v>
      </c>
      <c r="Z35" s="28">
        <f t="shared" si="12"/>
        <v>0</v>
      </c>
      <c r="AA35" s="28">
        <f t="shared" si="13"/>
        <v>0</v>
      </c>
      <c r="AB35" s="29">
        <f t="shared" si="14"/>
        <v>0</v>
      </c>
      <c r="AC35" s="30">
        <f>AD35*288</f>
        <v>0</v>
      </c>
      <c r="AD35" s="31"/>
      <c r="AE35" s="45">
        <f t="shared" si="439"/>
        <v>0</v>
      </c>
      <c r="AF35" s="45">
        <f t="shared" si="440"/>
        <v>0</v>
      </c>
      <c r="AG35" s="45">
        <f t="shared" si="441"/>
        <v>0</v>
      </c>
      <c r="AH35" s="45">
        <f t="shared" si="442"/>
        <v>0</v>
      </c>
      <c r="AI35" s="46">
        <f t="shared" si="443"/>
        <v>0</v>
      </c>
      <c r="AJ35" s="30">
        <f>AK35*288</f>
        <v>0</v>
      </c>
      <c r="AK35" s="31"/>
      <c r="AL35" s="28">
        <f t="shared" si="22"/>
        <v>0</v>
      </c>
      <c r="AM35" s="28">
        <f t="shared" si="23"/>
        <v>0</v>
      </c>
      <c r="AN35" s="28">
        <f t="shared" si="24"/>
        <v>0</v>
      </c>
      <c r="AO35" s="28">
        <f t="shared" si="25"/>
        <v>0</v>
      </c>
      <c r="AP35" s="29">
        <f t="shared" si="26"/>
        <v>0</v>
      </c>
      <c r="AQ35" s="30">
        <f>AR35*288</f>
        <v>0</v>
      </c>
      <c r="AR35" s="31"/>
      <c r="AS35" s="21">
        <f t="shared" si="429"/>
        <v>0</v>
      </c>
      <c r="AT35" s="21">
        <f t="shared" si="430"/>
        <v>0</v>
      </c>
      <c r="AU35" s="21">
        <f t="shared" si="431"/>
        <v>0</v>
      </c>
      <c r="AV35" s="21">
        <f t="shared" si="432"/>
        <v>0</v>
      </c>
      <c r="AW35" s="22">
        <f t="shared" si="433"/>
        <v>0</v>
      </c>
      <c r="AX35" s="30">
        <f>AY35*288</f>
        <v>0</v>
      </c>
      <c r="AY35" s="31"/>
      <c r="AZ35" s="28">
        <f t="shared" si="34"/>
        <v>0</v>
      </c>
      <c r="BA35" s="28">
        <f t="shared" si="35"/>
        <v>0</v>
      </c>
      <c r="BB35" s="28">
        <f t="shared" si="36"/>
        <v>0</v>
      </c>
      <c r="BC35" s="28">
        <f t="shared" si="37"/>
        <v>0</v>
      </c>
      <c r="BD35" s="29">
        <f t="shared" si="38"/>
        <v>0</v>
      </c>
      <c r="BE35" s="30"/>
      <c r="BF35" s="31"/>
      <c r="BG35" s="28">
        <f t="shared" si="39"/>
        <v>0</v>
      </c>
      <c r="BH35" s="28">
        <f t="shared" si="40"/>
        <v>0</v>
      </c>
      <c r="BI35" s="28">
        <f t="shared" si="41"/>
        <v>0</v>
      </c>
      <c r="BJ35" s="28">
        <f t="shared" si="42"/>
        <v>0</v>
      </c>
      <c r="BK35" s="29">
        <f t="shared" si="43"/>
        <v>0</v>
      </c>
      <c r="BL35" s="30"/>
      <c r="BM35" s="31"/>
      <c r="BN35" s="28">
        <f t="shared" si="44"/>
        <v>0</v>
      </c>
      <c r="BO35" s="28">
        <f t="shared" si="45"/>
        <v>0</v>
      </c>
      <c r="BP35" s="28">
        <f t="shared" si="46"/>
        <v>0</v>
      </c>
      <c r="BQ35" s="28">
        <f t="shared" si="47"/>
        <v>0</v>
      </c>
      <c r="BR35" s="29">
        <f t="shared" si="48"/>
        <v>0</v>
      </c>
      <c r="BS35" s="30"/>
      <c r="BT35" s="31"/>
      <c r="BU35" s="28">
        <f t="shared" si="49"/>
        <v>0</v>
      </c>
      <c r="BV35" s="28">
        <f t="shared" si="50"/>
        <v>0</v>
      </c>
      <c r="BW35" s="28">
        <f t="shared" si="51"/>
        <v>0</v>
      </c>
      <c r="BX35" s="28">
        <f t="shared" si="52"/>
        <v>0</v>
      </c>
      <c r="BY35" s="29">
        <f t="shared" si="53"/>
        <v>0</v>
      </c>
      <c r="BZ35" s="30"/>
      <c r="CA35" s="31"/>
      <c r="CB35" s="28">
        <f t="shared" si="54"/>
        <v>0</v>
      </c>
      <c r="CC35" s="28">
        <f t="shared" si="55"/>
        <v>0</v>
      </c>
      <c r="CD35" s="28">
        <f t="shared" si="56"/>
        <v>0</v>
      </c>
      <c r="CE35" s="28">
        <f t="shared" si="57"/>
        <v>0</v>
      </c>
      <c r="CF35" s="29">
        <f t="shared" si="58"/>
        <v>0</v>
      </c>
      <c r="CG35" s="30"/>
      <c r="CH35" s="31"/>
      <c r="CI35" s="28">
        <f t="shared" si="59"/>
        <v>0</v>
      </c>
      <c r="CJ35" s="28">
        <f t="shared" si="60"/>
        <v>0</v>
      </c>
      <c r="CK35" s="28">
        <f t="shared" si="61"/>
        <v>0</v>
      </c>
      <c r="CL35" s="28">
        <f t="shared" si="62"/>
        <v>0</v>
      </c>
      <c r="CM35" s="29">
        <f t="shared" si="63"/>
        <v>0</v>
      </c>
      <c r="CN35" s="30"/>
      <c r="CO35" s="31"/>
      <c r="CP35" s="28">
        <f t="shared" si="64"/>
        <v>0</v>
      </c>
      <c r="CQ35" s="28">
        <f t="shared" si="65"/>
        <v>0</v>
      </c>
      <c r="CR35" s="28">
        <f t="shared" si="66"/>
        <v>0</v>
      </c>
      <c r="CS35" s="28">
        <f t="shared" si="67"/>
        <v>0</v>
      </c>
      <c r="CT35" s="29">
        <f t="shared" si="68"/>
        <v>0</v>
      </c>
    </row>
    <row r="36" spans="1:98" ht="24.75" customHeight="1">
      <c r="A36" s="83" t="s">
        <v>117</v>
      </c>
      <c r="B36" s="115" t="s">
        <v>105</v>
      </c>
      <c r="C36" s="32" t="s">
        <v>24</v>
      </c>
      <c r="D36" s="33">
        <f t="shared" ref="D36:D57" si="444">700*4</f>
        <v>2800</v>
      </c>
      <c r="E36" s="34">
        <v>9.92</v>
      </c>
      <c r="F36" s="35">
        <v>5</v>
      </c>
      <c r="G36" s="36">
        <v>15000</v>
      </c>
      <c r="H36" s="33">
        <f t="shared" si="69"/>
        <v>1752240</v>
      </c>
      <c r="I36" s="35">
        <f t="shared" si="70"/>
        <v>1043</v>
      </c>
      <c r="J36" s="35">
        <f t="shared" si="71"/>
        <v>2920400</v>
      </c>
      <c r="K36" s="35">
        <f t="shared" si="72"/>
        <v>17382220.800000001</v>
      </c>
      <c r="L36" s="35">
        <f t="shared" si="73"/>
        <v>8761200</v>
      </c>
      <c r="M36" s="35">
        <f t="shared" si="74"/>
        <v>15645000</v>
      </c>
      <c r="N36" s="36">
        <f t="shared" si="75"/>
        <v>44708820.799999997</v>
      </c>
      <c r="O36" s="37">
        <v>134400</v>
      </c>
      <c r="P36" s="38">
        <v>80</v>
      </c>
      <c r="Q36" s="35">
        <f t="shared" si="4"/>
        <v>224000</v>
      </c>
      <c r="R36" s="35">
        <f t="shared" si="5"/>
        <v>1333248</v>
      </c>
      <c r="S36" s="35">
        <f t="shared" si="6"/>
        <v>672000</v>
      </c>
      <c r="T36" s="35">
        <f t="shared" si="7"/>
        <v>1200000</v>
      </c>
      <c r="U36" s="36">
        <f t="shared" si="8"/>
        <v>3429248</v>
      </c>
      <c r="V36" s="37">
        <f t="shared" ref="V36:V42" si="445">W36*1680</f>
        <v>241920</v>
      </c>
      <c r="W36" s="38">
        <v>144</v>
      </c>
      <c r="X36" s="35">
        <f t="shared" si="10"/>
        <v>403200</v>
      </c>
      <c r="Y36" s="35">
        <f t="shared" si="11"/>
        <v>2399846.3999999999</v>
      </c>
      <c r="Z36" s="35">
        <f t="shared" si="12"/>
        <v>1209600</v>
      </c>
      <c r="AA36" s="35">
        <f t="shared" si="13"/>
        <v>2160000</v>
      </c>
      <c r="AB36" s="36">
        <f t="shared" si="14"/>
        <v>6172646.4000000004</v>
      </c>
      <c r="AC36" s="37">
        <f t="shared" ref="AC36:AC42" si="446">AD36*1680</f>
        <v>456960</v>
      </c>
      <c r="AD36" s="38">
        <v>272</v>
      </c>
      <c r="AE36" s="35">
        <f t="shared" si="16"/>
        <v>761600</v>
      </c>
      <c r="AF36" s="35">
        <f t="shared" si="17"/>
        <v>4533043.2000000002</v>
      </c>
      <c r="AG36" s="35">
        <f t="shared" si="18"/>
        <v>2284800</v>
      </c>
      <c r="AH36" s="35">
        <f t="shared" si="19"/>
        <v>4080000</v>
      </c>
      <c r="AI36" s="36">
        <f t="shared" si="20"/>
        <v>11659443.199999999</v>
      </c>
      <c r="AJ36" s="37">
        <f t="shared" ref="AJ36:AJ42" si="447">AK36*1680</f>
        <v>462000</v>
      </c>
      <c r="AK36" s="38">
        <v>275</v>
      </c>
      <c r="AL36" s="35">
        <f t="shared" si="22"/>
        <v>770000</v>
      </c>
      <c r="AM36" s="35">
        <f t="shared" si="23"/>
        <v>4583040</v>
      </c>
      <c r="AN36" s="35">
        <f t="shared" si="24"/>
        <v>2310000</v>
      </c>
      <c r="AO36" s="35">
        <f t="shared" si="25"/>
        <v>4125000</v>
      </c>
      <c r="AP36" s="36">
        <f t="shared" si="26"/>
        <v>11788040</v>
      </c>
      <c r="AQ36" s="37">
        <f t="shared" ref="AQ36:AQ42" si="448">AR36*1680</f>
        <v>241920</v>
      </c>
      <c r="AR36" s="38">
        <v>144</v>
      </c>
      <c r="AS36" s="35">
        <f t="shared" si="28"/>
        <v>403200</v>
      </c>
      <c r="AT36" s="35">
        <f t="shared" si="29"/>
        <v>2399846.3999999999</v>
      </c>
      <c r="AU36" s="35">
        <f t="shared" si="30"/>
        <v>1209600</v>
      </c>
      <c r="AV36" s="35">
        <f t="shared" si="31"/>
        <v>2160000</v>
      </c>
      <c r="AW36" s="36">
        <f t="shared" si="32"/>
        <v>6172646.4000000004</v>
      </c>
      <c r="AX36" s="37">
        <f t="shared" ref="AX36:AX42" si="449">AY36*1680</f>
        <v>215040</v>
      </c>
      <c r="AY36" s="38">
        <v>128</v>
      </c>
      <c r="AZ36" s="35">
        <f t="shared" si="34"/>
        <v>358400</v>
      </c>
      <c r="BA36" s="35">
        <f t="shared" si="35"/>
        <v>2133196.7999999998</v>
      </c>
      <c r="BB36" s="35">
        <f t="shared" si="36"/>
        <v>1075200</v>
      </c>
      <c r="BC36" s="35">
        <f t="shared" si="37"/>
        <v>1920000</v>
      </c>
      <c r="BD36" s="36">
        <f t="shared" si="38"/>
        <v>5486796.7999999998</v>
      </c>
      <c r="BE36" s="37"/>
      <c r="BF36" s="38"/>
      <c r="BG36" s="35">
        <f t="shared" si="39"/>
        <v>0</v>
      </c>
      <c r="BH36" s="35">
        <f t="shared" si="40"/>
        <v>0</v>
      </c>
      <c r="BI36" s="35">
        <f t="shared" si="41"/>
        <v>0</v>
      </c>
      <c r="BJ36" s="35">
        <f t="shared" si="42"/>
        <v>0</v>
      </c>
      <c r="BK36" s="36">
        <f t="shared" si="43"/>
        <v>0</v>
      </c>
      <c r="BL36" s="37"/>
      <c r="BM36" s="38"/>
      <c r="BN36" s="35">
        <f t="shared" si="44"/>
        <v>0</v>
      </c>
      <c r="BO36" s="35">
        <f t="shared" si="45"/>
        <v>0</v>
      </c>
      <c r="BP36" s="35">
        <f t="shared" si="46"/>
        <v>0</v>
      </c>
      <c r="BQ36" s="35">
        <f t="shared" si="47"/>
        <v>0</v>
      </c>
      <c r="BR36" s="36">
        <f t="shared" si="48"/>
        <v>0</v>
      </c>
      <c r="BS36" s="37"/>
      <c r="BT36" s="38"/>
      <c r="BU36" s="35">
        <f t="shared" si="49"/>
        <v>0</v>
      </c>
      <c r="BV36" s="35">
        <f t="shared" si="50"/>
        <v>0</v>
      </c>
      <c r="BW36" s="35">
        <f t="shared" si="51"/>
        <v>0</v>
      </c>
      <c r="BX36" s="35">
        <f t="shared" si="52"/>
        <v>0</v>
      </c>
      <c r="BY36" s="36">
        <f t="shared" si="53"/>
        <v>0</v>
      </c>
      <c r="BZ36" s="37"/>
      <c r="CA36" s="38"/>
      <c r="CB36" s="35">
        <f t="shared" si="54"/>
        <v>0</v>
      </c>
      <c r="CC36" s="35">
        <f t="shared" si="55"/>
        <v>0</v>
      </c>
      <c r="CD36" s="35">
        <f t="shared" si="56"/>
        <v>0</v>
      </c>
      <c r="CE36" s="35">
        <f t="shared" si="57"/>
        <v>0</v>
      </c>
      <c r="CF36" s="36">
        <f t="shared" si="58"/>
        <v>0</v>
      </c>
      <c r="CG36" s="37"/>
      <c r="CH36" s="38"/>
      <c r="CI36" s="35">
        <f t="shared" si="59"/>
        <v>0</v>
      </c>
      <c r="CJ36" s="35">
        <f t="shared" si="60"/>
        <v>0</v>
      </c>
      <c r="CK36" s="35">
        <f t="shared" si="61"/>
        <v>0</v>
      </c>
      <c r="CL36" s="35">
        <f t="shared" si="62"/>
        <v>0</v>
      </c>
      <c r="CM36" s="36">
        <f t="shared" si="63"/>
        <v>0</v>
      </c>
      <c r="CN36" s="37"/>
      <c r="CO36" s="38"/>
      <c r="CP36" s="35">
        <f t="shared" si="64"/>
        <v>0</v>
      </c>
      <c r="CQ36" s="35">
        <f t="shared" si="65"/>
        <v>0</v>
      </c>
      <c r="CR36" s="35">
        <f t="shared" si="66"/>
        <v>0</v>
      </c>
      <c r="CS36" s="35">
        <f t="shared" si="67"/>
        <v>0</v>
      </c>
      <c r="CT36" s="36">
        <f t="shared" si="68"/>
        <v>0</v>
      </c>
    </row>
    <row r="37" spans="1:98" ht="24.75" customHeight="1">
      <c r="A37" s="83" t="s">
        <v>118</v>
      </c>
      <c r="B37" s="114"/>
      <c r="C37" s="18" t="s">
        <v>26</v>
      </c>
      <c r="D37" s="19">
        <f t="shared" si="444"/>
        <v>2800</v>
      </c>
      <c r="E37" s="20">
        <v>9.92</v>
      </c>
      <c r="F37" s="21">
        <v>5</v>
      </c>
      <c r="G37" s="22">
        <v>15000</v>
      </c>
      <c r="H37" s="19">
        <f t="shared" si="69"/>
        <v>100800</v>
      </c>
      <c r="I37" s="21">
        <f t="shared" si="70"/>
        <v>60</v>
      </c>
      <c r="J37" s="21">
        <f t="shared" si="71"/>
        <v>168000</v>
      </c>
      <c r="K37" s="21">
        <f t="shared" si="72"/>
        <v>999936</v>
      </c>
      <c r="L37" s="21">
        <f t="shared" si="73"/>
        <v>504000</v>
      </c>
      <c r="M37" s="21">
        <f t="shared" si="74"/>
        <v>900000</v>
      </c>
      <c r="N37" s="22">
        <f t="shared" si="75"/>
        <v>2571936</v>
      </c>
      <c r="O37" s="23">
        <v>13440</v>
      </c>
      <c r="P37" s="24">
        <v>8</v>
      </c>
      <c r="Q37" s="21">
        <f t="shared" si="4"/>
        <v>22400</v>
      </c>
      <c r="R37" s="21">
        <f t="shared" si="5"/>
        <v>133324.79999999999</v>
      </c>
      <c r="S37" s="21">
        <f t="shared" si="6"/>
        <v>67200</v>
      </c>
      <c r="T37" s="21">
        <f t="shared" si="7"/>
        <v>120000</v>
      </c>
      <c r="U37" s="22">
        <f t="shared" si="8"/>
        <v>342924.79999999999</v>
      </c>
      <c r="V37" s="23">
        <f t="shared" si="445"/>
        <v>13440</v>
      </c>
      <c r="W37" s="24">
        <v>8</v>
      </c>
      <c r="X37" s="21">
        <f t="shared" si="10"/>
        <v>22400</v>
      </c>
      <c r="Y37" s="21">
        <f t="shared" si="11"/>
        <v>133324.79999999999</v>
      </c>
      <c r="Z37" s="21">
        <f t="shared" si="12"/>
        <v>67200</v>
      </c>
      <c r="AA37" s="21">
        <f t="shared" si="13"/>
        <v>120000</v>
      </c>
      <c r="AB37" s="22">
        <f t="shared" si="14"/>
        <v>342924.79999999999</v>
      </c>
      <c r="AC37" s="23">
        <f t="shared" si="446"/>
        <v>13440</v>
      </c>
      <c r="AD37" s="24">
        <v>8</v>
      </c>
      <c r="AE37" s="21">
        <f t="shared" si="16"/>
        <v>22400</v>
      </c>
      <c r="AF37" s="21">
        <f t="shared" si="17"/>
        <v>133324.79999999999</v>
      </c>
      <c r="AG37" s="21">
        <f t="shared" si="18"/>
        <v>67200</v>
      </c>
      <c r="AH37" s="21">
        <f t="shared" si="19"/>
        <v>120000</v>
      </c>
      <c r="AI37" s="22">
        <f t="shared" si="20"/>
        <v>342924.79999999999</v>
      </c>
      <c r="AJ37" s="23">
        <f t="shared" si="447"/>
        <v>26880</v>
      </c>
      <c r="AK37" s="24">
        <v>16</v>
      </c>
      <c r="AL37" s="21">
        <f t="shared" si="22"/>
        <v>44800</v>
      </c>
      <c r="AM37" s="21">
        <f t="shared" si="23"/>
        <v>266649.59999999998</v>
      </c>
      <c r="AN37" s="21">
        <f t="shared" si="24"/>
        <v>134400</v>
      </c>
      <c r="AO37" s="21">
        <f t="shared" si="25"/>
        <v>240000</v>
      </c>
      <c r="AP37" s="22">
        <f t="shared" si="26"/>
        <v>685849.59999999998</v>
      </c>
      <c r="AQ37" s="23">
        <f t="shared" si="448"/>
        <v>20160</v>
      </c>
      <c r="AR37" s="24">
        <v>12</v>
      </c>
      <c r="AS37" s="21">
        <f t="shared" si="28"/>
        <v>33600</v>
      </c>
      <c r="AT37" s="21">
        <f t="shared" si="29"/>
        <v>199987.20000000001</v>
      </c>
      <c r="AU37" s="21">
        <f t="shared" si="30"/>
        <v>100800</v>
      </c>
      <c r="AV37" s="21">
        <f t="shared" si="31"/>
        <v>180000</v>
      </c>
      <c r="AW37" s="22">
        <f t="shared" si="32"/>
        <v>514387.20000000001</v>
      </c>
      <c r="AX37" s="23">
        <f t="shared" si="449"/>
        <v>13440</v>
      </c>
      <c r="AY37" s="24">
        <v>8</v>
      </c>
      <c r="AZ37" s="21">
        <f t="shared" si="34"/>
        <v>22400</v>
      </c>
      <c r="BA37" s="21">
        <f t="shared" si="35"/>
        <v>133324.79999999999</v>
      </c>
      <c r="BB37" s="21">
        <f t="shared" si="36"/>
        <v>67200</v>
      </c>
      <c r="BC37" s="21">
        <f t="shared" si="37"/>
        <v>120000</v>
      </c>
      <c r="BD37" s="22">
        <f t="shared" si="38"/>
        <v>342924.79999999999</v>
      </c>
      <c r="BE37" s="23"/>
      <c r="BF37" s="24"/>
      <c r="BG37" s="21">
        <f t="shared" si="39"/>
        <v>0</v>
      </c>
      <c r="BH37" s="21">
        <f t="shared" si="40"/>
        <v>0</v>
      </c>
      <c r="BI37" s="21">
        <f t="shared" si="41"/>
        <v>0</v>
      </c>
      <c r="BJ37" s="21">
        <f t="shared" si="42"/>
        <v>0</v>
      </c>
      <c r="BK37" s="22">
        <f t="shared" si="43"/>
        <v>0</v>
      </c>
      <c r="BL37" s="23"/>
      <c r="BM37" s="24"/>
      <c r="BN37" s="21">
        <f t="shared" si="44"/>
        <v>0</v>
      </c>
      <c r="BO37" s="21">
        <f t="shared" si="45"/>
        <v>0</v>
      </c>
      <c r="BP37" s="21">
        <f t="shared" si="46"/>
        <v>0</v>
      </c>
      <c r="BQ37" s="21">
        <f t="shared" si="47"/>
        <v>0</v>
      </c>
      <c r="BR37" s="22">
        <f t="shared" si="48"/>
        <v>0</v>
      </c>
      <c r="BS37" s="23"/>
      <c r="BT37" s="24"/>
      <c r="BU37" s="21">
        <f t="shared" si="49"/>
        <v>0</v>
      </c>
      <c r="BV37" s="21">
        <f t="shared" si="50"/>
        <v>0</v>
      </c>
      <c r="BW37" s="21">
        <f t="shared" si="51"/>
        <v>0</v>
      </c>
      <c r="BX37" s="21">
        <f t="shared" si="52"/>
        <v>0</v>
      </c>
      <c r="BY37" s="22">
        <f t="shared" si="53"/>
        <v>0</v>
      </c>
      <c r="BZ37" s="23"/>
      <c r="CA37" s="24"/>
      <c r="CB37" s="21">
        <f t="shared" si="54"/>
        <v>0</v>
      </c>
      <c r="CC37" s="21">
        <f t="shared" si="55"/>
        <v>0</v>
      </c>
      <c r="CD37" s="21">
        <f t="shared" si="56"/>
        <v>0</v>
      </c>
      <c r="CE37" s="21">
        <f t="shared" si="57"/>
        <v>0</v>
      </c>
      <c r="CF37" s="22">
        <f t="shared" si="58"/>
        <v>0</v>
      </c>
      <c r="CG37" s="23"/>
      <c r="CH37" s="24"/>
      <c r="CI37" s="21">
        <f t="shared" si="59"/>
        <v>0</v>
      </c>
      <c r="CJ37" s="21">
        <f t="shared" si="60"/>
        <v>0</v>
      </c>
      <c r="CK37" s="21">
        <f t="shared" si="61"/>
        <v>0</v>
      </c>
      <c r="CL37" s="21">
        <f t="shared" si="62"/>
        <v>0</v>
      </c>
      <c r="CM37" s="22">
        <f t="shared" si="63"/>
        <v>0</v>
      </c>
      <c r="CN37" s="23"/>
      <c r="CO37" s="24"/>
      <c r="CP37" s="21">
        <f t="shared" si="64"/>
        <v>0</v>
      </c>
      <c r="CQ37" s="21">
        <f t="shared" si="65"/>
        <v>0</v>
      </c>
      <c r="CR37" s="21">
        <f t="shared" si="66"/>
        <v>0</v>
      </c>
      <c r="CS37" s="21">
        <f t="shared" si="67"/>
        <v>0</v>
      </c>
      <c r="CT37" s="22">
        <f t="shared" si="68"/>
        <v>0</v>
      </c>
    </row>
    <row r="38" spans="1:98" ht="24.75" customHeight="1">
      <c r="A38" s="83" t="s">
        <v>119</v>
      </c>
      <c r="B38" s="114"/>
      <c r="C38" s="18" t="s">
        <v>28</v>
      </c>
      <c r="D38" s="19">
        <f t="shared" si="444"/>
        <v>2800</v>
      </c>
      <c r="E38" s="20">
        <v>9.92</v>
      </c>
      <c r="F38" s="21">
        <v>5</v>
      </c>
      <c r="G38" s="22">
        <v>15000</v>
      </c>
      <c r="H38" s="19">
        <f t="shared" si="69"/>
        <v>115920</v>
      </c>
      <c r="I38" s="21">
        <f t="shared" si="70"/>
        <v>69</v>
      </c>
      <c r="J38" s="21">
        <f t="shared" si="71"/>
        <v>193200</v>
      </c>
      <c r="K38" s="21">
        <f t="shared" si="72"/>
        <v>1149926.3999999999</v>
      </c>
      <c r="L38" s="21">
        <f t="shared" si="73"/>
        <v>579600</v>
      </c>
      <c r="M38" s="21">
        <f t="shared" si="74"/>
        <v>1035000</v>
      </c>
      <c r="N38" s="22">
        <f t="shared" si="75"/>
        <v>2957726.4000000004</v>
      </c>
      <c r="O38" s="23">
        <v>31920</v>
      </c>
      <c r="P38" s="24">
        <v>19</v>
      </c>
      <c r="Q38" s="21">
        <f t="shared" si="4"/>
        <v>53200</v>
      </c>
      <c r="R38" s="21">
        <f t="shared" si="5"/>
        <v>316646.40000000002</v>
      </c>
      <c r="S38" s="21">
        <f t="shared" si="6"/>
        <v>159600</v>
      </c>
      <c r="T38" s="21">
        <f t="shared" si="7"/>
        <v>285000</v>
      </c>
      <c r="U38" s="22">
        <f t="shared" si="8"/>
        <v>814446.4</v>
      </c>
      <c r="V38" s="23">
        <f t="shared" si="445"/>
        <v>36960</v>
      </c>
      <c r="W38" s="24">
        <v>22</v>
      </c>
      <c r="X38" s="21">
        <f t="shared" si="10"/>
        <v>61600</v>
      </c>
      <c r="Y38" s="21">
        <f t="shared" si="11"/>
        <v>366643.20000000001</v>
      </c>
      <c r="Z38" s="21">
        <f t="shared" si="12"/>
        <v>184800</v>
      </c>
      <c r="AA38" s="21">
        <f t="shared" si="13"/>
        <v>330000</v>
      </c>
      <c r="AB38" s="22">
        <f t="shared" si="14"/>
        <v>943043.2</v>
      </c>
      <c r="AC38" s="23">
        <f t="shared" si="446"/>
        <v>18480</v>
      </c>
      <c r="AD38" s="24">
        <v>11</v>
      </c>
      <c r="AE38" s="21">
        <f t="shared" si="16"/>
        <v>30800</v>
      </c>
      <c r="AF38" s="21">
        <f t="shared" si="17"/>
        <v>183321.60000000001</v>
      </c>
      <c r="AG38" s="21">
        <f t="shared" si="18"/>
        <v>92400</v>
      </c>
      <c r="AH38" s="21">
        <f t="shared" si="19"/>
        <v>165000</v>
      </c>
      <c r="AI38" s="22">
        <f t="shared" si="20"/>
        <v>471521.6</v>
      </c>
      <c r="AJ38" s="23">
        <f t="shared" si="447"/>
        <v>13440</v>
      </c>
      <c r="AK38" s="24">
        <v>8</v>
      </c>
      <c r="AL38" s="21">
        <f t="shared" si="22"/>
        <v>22400</v>
      </c>
      <c r="AM38" s="21">
        <f t="shared" si="23"/>
        <v>133324.79999999999</v>
      </c>
      <c r="AN38" s="21">
        <f t="shared" si="24"/>
        <v>67200</v>
      </c>
      <c r="AO38" s="21">
        <f t="shared" si="25"/>
        <v>120000</v>
      </c>
      <c r="AP38" s="22">
        <f t="shared" si="26"/>
        <v>342924.79999999999</v>
      </c>
      <c r="AQ38" s="23">
        <f t="shared" si="448"/>
        <v>3360</v>
      </c>
      <c r="AR38" s="24">
        <v>2</v>
      </c>
      <c r="AS38" s="21">
        <f t="shared" si="28"/>
        <v>5600</v>
      </c>
      <c r="AT38" s="21">
        <f t="shared" si="29"/>
        <v>33331.199999999997</v>
      </c>
      <c r="AU38" s="21">
        <f t="shared" si="30"/>
        <v>16800</v>
      </c>
      <c r="AV38" s="21">
        <f t="shared" si="31"/>
        <v>30000</v>
      </c>
      <c r="AW38" s="22">
        <f t="shared" si="32"/>
        <v>85731.199999999997</v>
      </c>
      <c r="AX38" s="23">
        <f t="shared" si="449"/>
        <v>11760</v>
      </c>
      <c r="AY38" s="24">
        <v>7</v>
      </c>
      <c r="AZ38" s="21">
        <f t="shared" si="34"/>
        <v>19600</v>
      </c>
      <c r="BA38" s="21">
        <f t="shared" si="35"/>
        <v>116659.2</v>
      </c>
      <c r="BB38" s="21">
        <f t="shared" si="36"/>
        <v>58800</v>
      </c>
      <c r="BC38" s="21">
        <f t="shared" si="37"/>
        <v>105000</v>
      </c>
      <c r="BD38" s="22">
        <f t="shared" si="38"/>
        <v>300059.2</v>
      </c>
      <c r="BE38" s="23"/>
      <c r="BF38" s="24"/>
      <c r="BG38" s="21">
        <f t="shared" si="39"/>
        <v>0</v>
      </c>
      <c r="BH38" s="21">
        <f t="shared" si="40"/>
        <v>0</v>
      </c>
      <c r="BI38" s="21">
        <f t="shared" si="41"/>
        <v>0</v>
      </c>
      <c r="BJ38" s="21">
        <f t="shared" si="42"/>
        <v>0</v>
      </c>
      <c r="BK38" s="22">
        <f t="shared" si="43"/>
        <v>0</v>
      </c>
      <c r="BL38" s="23"/>
      <c r="BM38" s="24"/>
      <c r="BN38" s="21">
        <f t="shared" si="44"/>
        <v>0</v>
      </c>
      <c r="BO38" s="21">
        <f t="shared" si="45"/>
        <v>0</v>
      </c>
      <c r="BP38" s="21">
        <f t="shared" si="46"/>
        <v>0</v>
      </c>
      <c r="BQ38" s="21">
        <f t="shared" si="47"/>
        <v>0</v>
      </c>
      <c r="BR38" s="22">
        <f t="shared" si="48"/>
        <v>0</v>
      </c>
      <c r="BS38" s="23"/>
      <c r="BT38" s="24"/>
      <c r="BU38" s="21">
        <f t="shared" si="49"/>
        <v>0</v>
      </c>
      <c r="BV38" s="21">
        <f t="shared" si="50"/>
        <v>0</v>
      </c>
      <c r="BW38" s="21">
        <f t="shared" si="51"/>
        <v>0</v>
      </c>
      <c r="BX38" s="21">
        <f t="shared" si="52"/>
        <v>0</v>
      </c>
      <c r="BY38" s="22">
        <f t="shared" si="53"/>
        <v>0</v>
      </c>
      <c r="BZ38" s="23"/>
      <c r="CA38" s="24"/>
      <c r="CB38" s="21">
        <f t="shared" si="54"/>
        <v>0</v>
      </c>
      <c r="CC38" s="21">
        <f t="shared" si="55"/>
        <v>0</v>
      </c>
      <c r="CD38" s="21">
        <f t="shared" si="56"/>
        <v>0</v>
      </c>
      <c r="CE38" s="21">
        <f t="shared" si="57"/>
        <v>0</v>
      </c>
      <c r="CF38" s="22">
        <f t="shared" si="58"/>
        <v>0</v>
      </c>
      <c r="CG38" s="23"/>
      <c r="CH38" s="24"/>
      <c r="CI38" s="21">
        <f t="shared" si="59"/>
        <v>0</v>
      </c>
      <c r="CJ38" s="21">
        <f t="shared" si="60"/>
        <v>0</v>
      </c>
      <c r="CK38" s="21">
        <f t="shared" si="61"/>
        <v>0</v>
      </c>
      <c r="CL38" s="21">
        <f t="shared" si="62"/>
        <v>0</v>
      </c>
      <c r="CM38" s="22">
        <f t="shared" si="63"/>
        <v>0</v>
      </c>
      <c r="CN38" s="23"/>
      <c r="CO38" s="24"/>
      <c r="CP38" s="21">
        <f t="shared" si="64"/>
        <v>0</v>
      </c>
      <c r="CQ38" s="21">
        <f t="shared" si="65"/>
        <v>0</v>
      </c>
      <c r="CR38" s="21">
        <f t="shared" si="66"/>
        <v>0</v>
      </c>
      <c r="CS38" s="21">
        <f t="shared" si="67"/>
        <v>0</v>
      </c>
      <c r="CT38" s="22">
        <f t="shared" si="68"/>
        <v>0</v>
      </c>
    </row>
    <row r="39" spans="1:98" ht="24.75" customHeight="1">
      <c r="A39" s="83" t="s">
        <v>120</v>
      </c>
      <c r="B39" s="114"/>
      <c r="C39" s="18" t="s">
        <v>30</v>
      </c>
      <c r="D39" s="19">
        <f t="shared" si="444"/>
        <v>2800</v>
      </c>
      <c r="E39" s="20">
        <v>9.92</v>
      </c>
      <c r="F39" s="21">
        <v>5</v>
      </c>
      <c r="G39" s="22">
        <v>15000</v>
      </c>
      <c r="H39" s="19">
        <f t="shared" si="69"/>
        <v>11760</v>
      </c>
      <c r="I39" s="21">
        <f t="shared" si="70"/>
        <v>7</v>
      </c>
      <c r="J39" s="21">
        <f t="shared" si="71"/>
        <v>19600</v>
      </c>
      <c r="K39" s="21">
        <f t="shared" si="72"/>
        <v>116659.2</v>
      </c>
      <c r="L39" s="21">
        <f t="shared" si="73"/>
        <v>58800</v>
      </c>
      <c r="M39" s="21">
        <f t="shared" si="74"/>
        <v>105000</v>
      </c>
      <c r="N39" s="22">
        <f t="shared" si="75"/>
        <v>300059.2</v>
      </c>
      <c r="O39" s="23">
        <v>8400</v>
      </c>
      <c r="P39" s="24">
        <v>5</v>
      </c>
      <c r="Q39" s="21">
        <f t="shared" si="4"/>
        <v>14000</v>
      </c>
      <c r="R39" s="21">
        <f t="shared" si="5"/>
        <v>83328</v>
      </c>
      <c r="S39" s="21">
        <f t="shared" si="6"/>
        <v>42000</v>
      </c>
      <c r="T39" s="21">
        <f t="shared" si="7"/>
        <v>75000</v>
      </c>
      <c r="U39" s="22">
        <f t="shared" si="8"/>
        <v>214328</v>
      </c>
      <c r="V39" s="23">
        <f t="shared" si="445"/>
        <v>3360</v>
      </c>
      <c r="W39" s="24">
        <v>2</v>
      </c>
      <c r="X39" s="21">
        <f t="shared" si="10"/>
        <v>5600</v>
      </c>
      <c r="Y39" s="21">
        <f t="shared" si="11"/>
        <v>33331.199999999997</v>
      </c>
      <c r="Z39" s="21">
        <f t="shared" si="12"/>
        <v>16800</v>
      </c>
      <c r="AA39" s="21">
        <f t="shared" si="13"/>
        <v>30000</v>
      </c>
      <c r="AB39" s="22">
        <f t="shared" si="14"/>
        <v>85731.199999999997</v>
      </c>
      <c r="AC39" s="23">
        <f t="shared" si="446"/>
        <v>0</v>
      </c>
      <c r="AD39" s="24"/>
      <c r="AE39" s="21">
        <f t="shared" si="16"/>
        <v>0</v>
      </c>
      <c r="AF39" s="21">
        <f t="shared" si="17"/>
        <v>0</v>
      </c>
      <c r="AG39" s="21">
        <f t="shared" si="18"/>
        <v>0</v>
      </c>
      <c r="AH39" s="21">
        <f t="shared" si="19"/>
        <v>0</v>
      </c>
      <c r="AI39" s="22">
        <f t="shared" si="20"/>
        <v>0</v>
      </c>
      <c r="AJ39" s="23">
        <f t="shared" si="447"/>
        <v>0</v>
      </c>
      <c r="AK39" s="24"/>
      <c r="AL39" s="21">
        <f t="shared" si="22"/>
        <v>0</v>
      </c>
      <c r="AM39" s="21">
        <f t="shared" si="23"/>
        <v>0</v>
      </c>
      <c r="AN39" s="21">
        <f t="shared" si="24"/>
        <v>0</v>
      </c>
      <c r="AO39" s="21">
        <f t="shared" si="25"/>
        <v>0</v>
      </c>
      <c r="AP39" s="22">
        <f t="shared" si="26"/>
        <v>0</v>
      </c>
      <c r="AQ39" s="23">
        <f t="shared" si="448"/>
        <v>0</v>
      </c>
      <c r="AR39" s="24"/>
      <c r="AS39" s="21">
        <f t="shared" si="28"/>
        <v>0</v>
      </c>
      <c r="AT39" s="21">
        <f t="shared" si="29"/>
        <v>0</v>
      </c>
      <c r="AU39" s="21">
        <f t="shared" si="30"/>
        <v>0</v>
      </c>
      <c r="AV39" s="21">
        <f t="shared" si="31"/>
        <v>0</v>
      </c>
      <c r="AW39" s="22">
        <f t="shared" si="32"/>
        <v>0</v>
      </c>
      <c r="AX39" s="23">
        <f t="shared" si="449"/>
        <v>0</v>
      </c>
      <c r="AY39" s="24"/>
      <c r="AZ39" s="21">
        <f t="shared" si="34"/>
        <v>0</v>
      </c>
      <c r="BA39" s="21">
        <f t="shared" si="35"/>
        <v>0</v>
      </c>
      <c r="BB39" s="21">
        <f t="shared" si="36"/>
        <v>0</v>
      </c>
      <c r="BC39" s="21">
        <f t="shared" si="37"/>
        <v>0</v>
      </c>
      <c r="BD39" s="22">
        <f t="shared" si="38"/>
        <v>0</v>
      </c>
      <c r="BE39" s="23"/>
      <c r="BF39" s="24"/>
      <c r="BG39" s="21">
        <f t="shared" si="39"/>
        <v>0</v>
      </c>
      <c r="BH39" s="21">
        <f t="shared" si="40"/>
        <v>0</v>
      </c>
      <c r="BI39" s="21">
        <f t="shared" si="41"/>
        <v>0</v>
      </c>
      <c r="BJ39" s="21">
        <f t="shared" si="42"/>
        <v>0</v>
      </c>
      <c r="BK39" s="22">
        <f t="shared" si="43"/>
        <v>0</v>
      </c>
      <c r="BL39" s="23"/>
      <c r="BM39" s="24"/>
      <c r="BN39" s="21">
        <f t="shared" si="44"/>
        <v>0</v>
      </c>
      <c r="BO39" s="21">
        <f t="shared" si="45"/>
        <v>0</v>
      </c>
      <c r="BP39" s="21">
        <f t="shared" si="46"/>
        <v>0</v>
      </c>
      <c r="BQ39" s="21">
        <f t="shared" si="47"/>
        <v>0</v>
      </c>
      <c r="BR39" s="22">
        <f t="shared" si="48"/>
        <v>0</v>
      </c>
      <c r="BS39" s="23"/>
      <c r="BT39" s="24"/>
      <c r="BU39" s="21">
        <f t="shared" si="49"/>
        <v>0</v>
      </c>
      <c r="BV39" s="21">
        <f t="shared" si="50"/>
        <v>0</v>
      </c>
      <c r="BW39" s="21">
        <f t="shared" si="51"/>
        <v>0</v>
      </c>
      <c r="BX39" s="21">
        <f t="shared" si="52"/>
        <v>0</v>
      </c>
      <c r="BY39" s="22">
        <f t="shared" si="53"/>
        <v>0</v>
      </c>
      <c r="BZ39" s="23"/>
      <c r="CA39" s="24"/>
      <c r="CB39" s="21">
        <f t="shared" si="54"/>
        <v>0</v>
      </c>
      <c r="CC39" s="21">
        <f t="shared" si="55"/>
        <v>0</v>
      </c>
      <c r="CD39" s="21">
        <f t="shared" si="56"/>
        <v>0</v>
      </c>
      <c r="CE39" s="21">
        <f t="shared" si="57"/>
        <v>0</v>
      </c>
      <c r="CF39" s="22">
        <f t="shared" si="58"/>
        <v>0</v>
      </c>
      <c r="CG39" s="23"/>
      <c r="CH39" s="24"/>
      <c r="CI39" s="21">
        <f t="shared" si="59"/>
        <v>0</v>
      </c>
      <c r="CJ39" s="21">
        <f t="shared" si="60"/>
        <v>0</v>
      </c>
      <c r="CK39" s="21">
        <f t="shared" si="61"/>
        <v>0</v>
      </c>
      <c r="CL39" s="21">
        <f t="shared" si="62"/>
        <v>0</v>
      </c>
      <c r="CM39" s="22">
        <f t="shared" si="63"/>
        <v>0</v>
      </c>
      <c r="CN39" s="23"/>
      <c r="CO39" s="24"/>
      <c r="CP39" s="21">
        <f t="shared" si="64"/>
        <v>0</v>
      </c>
      <c r="CQ39" s="21">
        <f t="shared" si="65"/>
        <v>0</v>
      </c>
      <c r="CR39" s="21">
        <f t="shared" si="66"/>
        <v>0</v>
      </c>
      <c r="CS39" s="21">
        <f t="shared" si="67"/>
        <v>0</v>
      </c>
      <c r="CT39" s="22">
        <f t="shared" si="68"/>
        <v>0</v>
      </c>
    </row>
    <row r="40" spans="1:98" ht="24.75" customHeight="1">
      <c r="A40" s="83" t="s">
        <v>157</v>
      </c>
      <c r="B40" s="114"/>
      <c r="C40" s="18" t="s">
        <v>31</v>
      </c>
      <c r="D40" s="19">
        <f t="shared" si="444"/>
        <v>2800</v>
      </c>
      <c r="E40" s="20">
        <v>9.92</v>
      </c>
      <c r="F40" s="21">
        <v>5</v>
      </c>
      <c r="G40" s="22">
        <v>15000</v>
      </c>
      <c r="H40" s="19">
        <f t="shared" si="69"/>
        <v>129360</v>
      </c>
      <c r="I40" s="21">
        <f t="shared" si="70"/>
        <v>77</v>
      </c>
      <c r="J40" s="21">
        <f t="shared" si="71"/>
        <v>215600</v>
      </c>
      <c r="K40" s="21">
        <f t="shared" si="72"/>
        <v>1283251.2000000002</v>
      </c>
      <c r="L40" s="21">
        <f t="shared" si="73"/>
        <v>646800</v>
      </c>
      <c r="M40" s="21">
        <f t="shared" si="74"/>
        <v>1155000</v>
      </c>
      <c r="N40" s="22">
        <f t="shared" si="75"/>
        <v>3300651.2</v>
      </c>
      <c r="O40" s="23">
        <v>11760</v>
      </c>
      <c r="P40" s="24">
        <v>7</v>
      </c>
      <c r="Q40" s="21">
        <f t="shared" si="4"/>
        <v>19600</v>
      </c>
      <c r="R40" s="21">
        <f t="shared" si="5"/>
        <v>116659.2</v>
      </c>
      <c r="S40" s="21">
        <f t="shared" si="6"/>
        <v>58800</v>
      </c>
      <c r="T40" s="21">
        <f t="shared" si="7"/>
        <v>105000</v>
      </c>
      <c r="U40" s="22">
        <f t="shared" si="8"/>
        <v>300059.2</v>
      </c>
      <c r="V40" s="23">
        <f t="shared" si="445"/>
        <v>0</v>
      </c>
      <c r="W40" s="24"/>
      <c r="X40" s="21">
        <f t="shared" si="10"/>
        <v>0</v>
      </c>
      <c r="Y40" s="21">
        <f t="shared" si="11"/>
        <v>0</v>
      </c>
      <c r="Z40" s="21">
        <f t="shared" si="12"/>
        <v>0</v>
      </c>
      <c r="AA40" s="21">
        <f t="shared" si="13"/>
        <v>0</v>
      </c>
      <c r="AB40" s="22">
        <f t="shared" si="14"/>
        <v>0</v>
      </c>
      <c r="AC40" s="23">
        <f t="shared" si="446"/>
        <v>20160</v>
      </c>
      <c r="AD40" s="24">
        <v>12</v>
      </c>
      <c r="AE40" s="21">
        <f t="shared" si="16"/>
        <v>33600</v>
      </c>
      <c r="AF40" s="21">
        <f t="shared" si="17"/>
        <v>199987.20000000001</v>
      </c>
      <c r="AG40" s="21">
        <f t="shared" si="18"/>
        <v>100800</v>
      </c>
      <c r="AH40" s="21">
        <f t="shared" si="19"/>
        <v>180000</v>
      </c>
      <c r="AI40" s="22">
        <f t="shared" si="20"/>
        <v>514387.20000000001</v>
      </c>
      <c r="AJ40" s="23">
        <f t="shared" si="447"/>
        <v>40320</v>
      </c>
      <c r="AK40" s="24">
        <v>24</v>
      </c>
      <c r="AL40" s="21">
        <f t="shared" si="22"/>
        <v>67200</v>
      </c>
      <c r="AM40" s="21">
        <f t="shared" si="23"/>
        <v>399974.40000000002</v>
      </c>
      <c r="AN40" s="21">
        <f t="shared" si="24"/>
        <v>201600</v>
      </c>
      <c r="AO40" s="21">
        <f t="shared" si="25"/>
        <v>360000</v>
      </c>
      <c r="AP40" s="22">
        <f t="shared" si="26"/>
        <v>1028774.4</v>
      </c>
      <c r="AQ40" s="23">
        <f t="shared" si="448"/>
        <v>57120</v>
      </c>
      <c r="AR40" s="24">
        <v>34</v>
      </c>
      <c r="AS40" s="21">
        <f t="shared" si="28"/>
        <v>95200</v>
      </c>
      <c r="AT40" s="21">
        <f t="shared" si="29"/>
        <v>566630.40000000002</v>
      </c>
      <c r="AU40" s="21">
        <f t="shared" si="30"/>
        <v>285600</v>
      </c>
      <c r="AV40" s="21">
        <f t="shared" si="31"/>
        <v>510000</v>
      </c>
      <c r="AW40" s="22">
        <f t="shared" si="32"/>
        <v>1457430.4</v>
      </c>
      <c r="AX40" s="23">
        <f t="shared" si="449"/>
        <v>0</v>
      </c>
      <c r="AY40" s="24"/>
      <c r="AZ40" s="21">
        <f t="shared" si="34"/>
        <v>0</v>
      </c>
      <c r="BA40" s="21">
        <f t="shared" si="35"/>
        <v>0</v>
      </c>
      <c r="BB40" s="21">
        <f t="shared" si="36"/>
        <v>0</v>
      </c>
      <c r="BC40" s="21">
        <f t="shared" si="37"/>
        <v>0</v>
      </c>
      <c r="BD40" s="22">
        <f t="shared" si="38"/>
        <v>0</v>
      </c>
      <c r="BE40" s="23"/>
      <c r="BF40" s="24"/>
      <c r="BG40" s="21">
        <f t="shared" si="39"/>
        <v>0</v>
      </c>
      <c r="BH40" s="21">
        <f t="shared" si="40"/>
        <v>0</v>
      </c>
      <c r="BI40" s="21">
        <f t="shared" si="41"/>
        <v>0</v>
      </c>
      <c r="BJ40" s="21">
        <f t="shared" si="42"/>
        <v>0</v>
      </c>
      <c r="BK40" s="22">
        <f t="shared" si="43"/>
        <v>0</v>
      </c>
      <c r="BL40" s="23"/>
      <c r="BM40" s="24"/>
      <c r="BN40" s="21">
        <f t="shared" si="44"/>
        <v>0</v>
      </c>
      <c r="BO40" s="21">
        <f t="shared" si="45"/>
        <v>0</v>
      </c>
      <c r="BP40" s="21">
        <f t="shared" si="46"/>
        <v>0</v>
      </c>
      <c r="BQ40" s="21">
        <f t="shared" si="47"/>
        <v>0</v>
      </c>
      <c r="BR40" s="22">
        <f t="shared" si="48"/>
        <v>0</v>
      </c>
      <c r="BS40" s="23"/>
      <c r="BT40" s="24"/>
      <c r="BU40" s="21">
        <f t="shared" si="49"/>
        <v>0</v>
      </c>
      <c r="BV40" s="21">
        <f t="shared" si="50"/>
        <v>0</v>
      </c>
      <c r="BW40" s="21">
        <f t="shared" si="51"/>
        <v>0</v>
      </c>
      <c r="BX40" s="21">
        <f t="shared" si="52"/>
        <v>0</v>
      </c>
      <c r="BY40" s="22">
        <f t="shared" si="53"/>
        <v>0</v>
      </c>
      <c r="BZ40" s="23"/>
      <c r="CA40" s="24"/>
      <c r="CB40" s="21">
        <f t="shared" si="54"/>
        <v>0</v>
      </c>
      <c r="CC40" s="21">
        <f t="shared" si="55"/>
        <v>0</v>
      </c>
      <c r="CD40" s="21">
        <f t="shared" si="56"/>
        <v>0</v>
      </c>
      <c r="CE40" s="21">
        <f t="shared" si="57"/>
        <v>0</v>
      </c>
      <c r="CF40" s="22">
        <f t="shared" si="58"/>
        <v>0</v>
      </c>
      <c r="CG40" s="23"/>
      <c r="CH40" s="24"/>
      <c r="CI40" s="21">
        <f t="shared" si="59"/>
        <v>0</v>
      </c>
      <c r="CJ40" s="21">
        <f t="shared" si="60"/>
        <v>0</v>
      </c>
      <c r="CK40" s="21">
        <f t="shared" si="61"/>
        <v>0</v>
      </c>
      <c r="CL40" s="21">
        <f t="shared" si="62"/>
        <v>0</v>
      </c>
      <c r="CM40" s="22">
        <f t="shared" si="63"/>
        <v>0</v>
      </c>
      <c r="CN40" s="23"/>
      <c r="CO40" s="24"/>
      <c r="CP40" s="21">
        <f t="shared" si="64"/>
        <v>0</v>
      </c>
      <c r="CQ40" s="21">
        <f t="shared" si="65"/>
        <v>0</v>
      </c>
      <c r="CR40" s="21">
        <f t="shared" si="66"/>
        <v>0</v>
      </c>
      <c r="CS40" s="21">
        <f t="shared" si="67"/>
        <v>0</v>
      </c>
      <c r="CT40" s="22">
        <f t="shared" si="68"/>
        <v>0</v>
      </c>
    </row>
    <row r="41" spans="1:98" ht="24.75" customHeight="1">
      <c r="A41" s="83" t="s">
        <v>122</v>
      </c>
      <c r="B41" s="114"/>
      <c r="C41" s="42" t="s">
        <v>44</v>
      </c>
      <c r="D41" s="19">
        <f t="shared" si="444"/>
        <v>2800</v>
      </c>
      <c r="E41" s="20">
        <v>9.92</v>
      </c>
      <c r="F41" s="21">
        <v>5</v>
      </c>
      <c r="G41" s="22">
        <v>15000</v>
      </c>
      <c r="H41" s="19">
        <f t="shared" ref="H41:H47" si="450">O41+V41+AC41+AJ41+AQ41+AX41+BE41+BL41+BS41+BZ41+CG41+CN41</f>
        <v>661920</v>
      </c>
      <c r="I41" s="21">
        <f t="shared" ref="I41:I44" si="451">P41+W41+AD41+AK41+AR41+AY41+BF41+BM41+BT41+CA41+CH41+CO41</f>
        <v>394</v>
      </c>
      <c r="J41" s="21">
        <f t="shared" ref="J41:J47" si="452">Q41+X41+AE41+AL41+AS41+AZ41+BG41+BN41+BU41+CB41+CI41+CP41</f>
        <v>1103200</v>
      </c>
      <c r="K41" s="21">
        <f t="shared" ref="K41:K47" si="453">R41+Y41+AF41+AM41+AT41+BA41+BH41+BO41+BV41+CC41+CJ41+CQ41</f>
        <v>6566246.4000000004</v>
      </c>
      <c r="L41" s="21">
        <f t="shared" ref="L41:L47" si="454">S41+Z41+AG41+AN41+AU41+BB41+BI41+BP41+BW41+CD41+CK41+CR41</f>
        <v>3309600</v>
      </c>
      <c r="M41" s="21">
        <f t="shared" ref="M41:M47" si="455">T41+AA41+AH41+AO41+AV41+BC41+BJ41+BQ41+BX41+CE41+CL41+CS41</f>
        <v>5910000</v>
      </c>
      <c r="N41" s="22">
        <f t="shared" ref="N41:N47" si="456">U41+AB41+AI41+AP41+AW41+BD41+BK41+BR41+BY41+CF41+CM41+CT41</f>
        <v>16889046.399999999</v>
      </c>
      <c r="O41" s="23">
        <v>211680</v>
      </c>
      <c r="P41" s="24">
        <v>126</v>
      </c>
      <c r="Q41" s="21">
        <f t="shared" ref="Q41:Q47" si="457">P41*$D41</f>
        <v>352800</v>
      </c>
      <c r="R41" s="21">
        <f t="shared" ref="R41:R47" si="458">O41*$E41</f>
        <v>2099865.6000000001</v>
      </c>
      <c r="S41" s="21">
        <f t="shared" ref="S41:S47" si="459">O41*$F41</f>
        <v>1058400</v>
      </c>
      <c r="T41" s="21">
        <f t="shared" ref="T41:T47" si="460">P41*$G41</f>
        <v>1890000</v>
      </c>
      <c r="U41" s="22">
        <f t="shared" ref="U41:U47" si="461">SUM(Q41:T41)</f>
        <v>5401065.5999999996</v>
      </c>
      <c r="V41" s="23">
        <f t="shared" si="445"/>
        <v>47040</v>
      </c>
      <c r="W41" s="24">
        <v>28</v>
      </c>
      <c r="X41" s="21">
        <f t="shared" ref="X41:X47" si="462">W41*$D41</f>
        <v>78400</v>
      </c>
      <c r="Y41" s="21">
        <f t="shared" ref="Y41:Y47" si="463">V41*$E41</f>
        <v>466636.79999999999</v>
      </c>
      <c r="Z41" s="21">
        <f t="shared" ref="Z41:Z47" si="464">V41*$F41</f>
        <v>235200</v>
      </c>
      <c r="AA41" s="21">
        <f t="shared" ref="AA41:AA47" si="465">W41*$G41</f>
        <v>420000</v>
      </c>
      <c r="AB41" s="22">
        <f t="shared" ref="AB41:AB47" si="466">SUM(X41:AA41)</f>
        <v>1200236.8</v>
      </c>
      <c r="AC41" s="23">
        <f t="shared" si="446"/>
        <v>94080</v>
      </c>
      <c r="AD41" s="24">
        <v>56</v>
      </c>
      <c r="AE41" s="21">
        <f t="shared" ref="AE41:AE46" si="467">AD41*$D41</f>
        <v>156800</v>
      </c>
      <c r="AF41" s="21">
        <f t="shared" ref="AF41:AF46" si="468">AC41*$E41</f>
        <v>933273.59999999998</v>
      </c>
      <c r="AG41" s="21">
        <f t="shared" ref="AG41:AG46" si="469">AC41*$F41</f>
        <v>470400</v>
      </c>
      <c r="AH41" s="21">
        <f t="shared" ref="AH41:AH46" si="470">AD41*$G41</f>
        <v>840000</v>
      </c>
      <c r="AI41" s="22">
        <f t="shared" ref="AI41:AI46" si="471">SUM(AE41:AH41)</f>
        <v>2400473.6</v>
      </c>
      <c r="AJ41" s="23">
        <f t="shared" si="447"/>
        <v>117600</v>
      </c>
      <c r="AK41" s="24">
        <v>70</v>
      </c>
      <c r="AL41" s="21">
        <f t="shared" ref="AL41:AL44" si="472">AK41*$D41</f>
        <v>196000</v>
      </c>
      <c r="AM41" s="21">
        <f t="shared" ref="AM41:AM46" si="473">AJ41*$E41</f>
        <v>1166592</v>
      </c>
      <c r="AN41" s="21">
        <f t="shared" ref="AN41:AN46" si="474">AJ41*$F41</f>
        <v>588000</v>
      </c>
      <c r="AO41" s="21">
        <f t="shared" ref="AO41:AO44" si="475">AK41*$G41</f>
        <v>1050000</v>
      </c>
      <c r="AP41" s="22">
        <f t="shared" ref="AP41:AP46" si="476">SUM(AL41:AO41)</f>
        <v>3000592</v>
      </c>
      <c r="AQ41" s="23">
        <f t="shared" si="448"/>
        <v>168000</v>
      </c>
      <c r="AR41" s="24">
        <v>100</v>
      </c>
      <c r="AS41" s="21">
        <f t="shared" ref="AS41:AS47" si="477">AR41*$D41</f>
        <v>280000</v>
      </c>
      <c r="AT41" s="21">
        <f t="shared" ref="AT41:AT47" si="478">AQ41*$E41</f>
        <v>1666560</v>
      </c>
      <c r="AU41" s="21">
        <f t="shared" ref="AU41:AU47" si="479">AQ41*$F41</f>
        <v>840000</v>
      </c>
      <c r="AV41" s="21">
        <f t="shared" ref="AV41:AV47" si="480">AR41*$G41</f>
        <v>1500000</v>
      </c>
      <c r="AW41" s="22">
        <f t="shared" ref="AW41:AW47" si="481">SUM(AS41:AV41)</f>
        <v>4286560</v>
      </c>
      <c r="AX41" s="23">
        <f t="shared" si="449"/>
        <v>23520</v>
      </c>
      <c r="AY41" s="24">
        <v>14</v>
      </c>
      <c r="AZ41" s="21">
        <f t="shared" ref="AZ41:AZ47" si="482">AY41*$D41</f>
        <v>39200</v>
      </c>
      <c r="BA41" s="21">
        <f t="shared" ref="BA41:BA47" si="483">AX41*$E41</f>
        <v>233318.39999999999</v>
      </c>
      <c r="BB41" s="21">
        <f t="shared" ref="BB41:BB47" si="484">AX41*$F41</f>
        <v>117600</v>
      </c>
      <c r="BC41" s="21">
        <f t="shared" ref="BC41:BC47" si="485">AY41*$G41</f>
        <v>210000</v>
      </c>
      <c r="BD41" s="22">
        <f t="shared" ref="BD41:BD47" si="486">SUM(AZ41:BC41)</f>
        <v>600118.4</v>
      </c>
      <c r="BE41" s="23"/>
      <c r="BF41" s="24"/>
      <c r="BG41" s="21">
        <f t="shared" ref="BG41:BG47" si="487">BF41*$D41</f>
        <v>0</v>
      </c>
      <c r="BH41" s="21">
        <f t="shared" ref="BH41:BH47" si="488">BE41*$E41</f>
        <v>0</v>
      </c>
      <c r="BI41" s="21">
        <f t="shared" ref="BI41:BI47" si="489">BE41*$F41</f>
        <v>0</v>
      </c>
      <c r="BJ41" s="21">
        <f t="shared" ref="BJ41:BJ47" si="490">BF41*$G41</f>
        <v>0</v>
      </c>
      <c r="BK41" s="22">
        <f t="shared" ref="BK41:BK47" si="491">SUM(BG41:BJ41)</f>
        <v>0</v>
      </c>
      <c r="BL41" s="23"/>
      <c r="BM41" s="24"/>
      <c r="BN41" s="21">
        <f t="shared" ref="BN41:BN47" si="492">BM41*$D41</f>
        <v>0</v>
      </c>
      <c r="BO41" s="21">
        <f t="shared" ref="BO41:BO47" si="493">BL41*$E41</f>
        <v>0</v>
      </c>
      <c r="BP41" s="21">
        <f t="shared" ref="BP41:BP47" si="494">BL41*$F41</f>
        <v>0</v>
      </c>
      <c r="BQ41" s="21">
        <f t="shared" ref="BQ41:BQ47" si="495">BM41*$G41</f>
        <v>0</v>
      </c>
      <c r="BR41" s="22">
        <f t="shared" ref="BR41:BR47" si="496">SUM(BN41:BQ41)</f>
        <v>0</v>
      </c>
      <c r="BS41" s="23"/>
      <c r="BT41" s="24"/>
      <c r="BU41" s="21">
        <f t="shared" ref="BU41:BU47" si="497">BT41*$D41</f>
        <v>0</v>
      </c>
      <c r="BV41" s="21">
        <f t="shared" ref="BV41:BV47" si="498">BS41*$E41</f>
        <v>0</v>
      </c>
      <c r="BW41" s="21">
        <f t="shared" ref="BW41:BW47" si="499">BS41*$F41</f>
        <v>0</v>
      </c>
      <c r="BX41" s="21">
        <f t="shared" ref="BX41:BX47" si="500">BT41*$G41</f>
        <v>0</v>
      </c>
      <c r="BY41" s="22">
        <f t="shared" ref="BY41:BY47" si="501">SUM(BU41:BX41)</f>
        <v>0</v>
      </c>
      <c r="BZ41" s="23"/>
      <c r="CA41" s="24"/>
      <c r="CB41" s="21">
        <f t="shared" ref="CB41:CB47" si="502">CA41*$D41</f>
        <v>0</v>
      </c>
      <c r="CC41" s="21">
        <f t="shared" ref="CC41:CC47" si="503">BZ41*$E41</f>
        <v>0</v>
      </c>
      <c r="CD41" s="21">
        <f t="shared" ref="CD41:CD47" si="504">BZ41*$F41</f>
        <v>0</v>
      </c>
      <c r="CE41" s="21">
        <f t="shared" ref="CE41:CE47" si="505">CA41*$G41</f>
        <v>0</v>
      </c>
      <c r="CF41" s="22">
        <f t="shared" ref="CF41:CF47" si="506">SUM(CB41:CE41)</f>
        <v>0</v>
      </c>
      <c r="CG41" s="23"/>
      <c r="CH41" s="24"/>
      <c r="CI41" s="21">
        <f t="shared" ref="CI41:CI47" si="507">CH41*$D41</f>
        <v>0</v>
      </c>
      <c r="CJ41" s="21">
        <f t="shared" ref="CJ41:CJ47" si="508">CG41*$E41</f>
        <v>0</v>
      </c>
      <c r="CK41" s="21">
        <f t="shared" ref="CK41:CK47" si="509">CG41*$F41</f>
        <v>0</v>
      </c>
      <c r="CL41" s="21">
        <f t="shared" ref="CL41:CL47" si="510">CH41*$G41</f>
        <v>0</v>
      </c>
      <c r="CM41" s="22">
        <f t="shared" ref="CM41:CM47" si="511">SUM(CI41:CL41)</f>
        <v>0</v>
      </c>
      <c r="CN41" s="23"/>
      <c r="CO41" s="24"/>
      <c r="CP41" s="21">
        <f t="shared" ref="CP41:CP47" si="512">CO41*$D41</f>
        <v>0</v>
      </c>
      <c r="CQ41" s="21">
        <f t="shared" ref="CQ41:CQ47" si="513">CN41*$E41</f>
        <v>0</v>
      </c>
      <c r="CR41" s="21">
        <f t="shared" ref="CR41:CR47" si="514">CN41*$F41</f>
        <v>0</v>
      </c>
      <c r="CS41" s="21">
        <f t="shared" ref="CS41:CS47" si="515">CO41*$G41</f>
        <v>0</v>
      </c>
      <c r="CT41" s="22">
        <f t="shared" ref="CT41:CT47" si="516">SUM(CP41:CS41)</f>
        <v>0</v>
      </c>
    </row>
    <row r="42" spans="1:98" ht="24.75" customHeight="1">
      <c r="A42" s="83" t="s">
        <v>121</v>
      </c>
      <c r="B42" s="114"/>
      <c r="C42" s="18" t="s">
        <v>49</v>
      </c>
      <c r="D42" s="19">
        <f t="shared" si="444"/>
        <v>2800</v>
      </c>
      <c r="E42" s="20">
        <v>9.92</v>
      </c>
      <c r="F42" s="21">
        <v>5</v>
      </c>
      <c r="G42" s="22">
        <v>15000</v>
      </c>
      <c r="H42" s="19">
        <f t="shared" si="450"/>
        <v>193200</v>
      </c>
      <c r="I42" s="21">
        <f t="shared" si="451"/>
        <v>115</v>
      </c>
      <c r="J42" s="21">
        <f t="shared" ref="J42" si="517">Q42+X42+AE42+AL42+AS42+AZ42+BG42+BN42+BU42+CB42+CI42+CP42</f>
        <v>322000</v>
      </c>
      <c r="K42" s="21">
        <f t="shared" ref="K42" si="518">R42+Y42+AF42+AM42+AT42+BA42+BH42+BO42+BV42+CC42+CJ42+CQ42</f>
        <v>1916544</v>
      </c>
      <c r="L42" s="21">
        <f t="shared" ref="L42" si="519">S42+Z42+AG42+AN42+AU42+BB42+BI42+BP42+BW42+CD42+CK42+CR42</f>
        <v>966000</v>
      </c>
      <c r="M42" s="21">
        <f t="shared" ref="M42" si="520">T42+AA42+AH42+AO42+AV42+BC42+BJ42+BQ42+BX42+CE42+CL42+CS42</f>
        <v>1725000</v>
      </c>
      <c r="N42" s="22">
        <f t="shared" ref="N42" si="521">U42+AB42+AI42+AP42+AW42+BD42+BK42+BR42+BY42+CF42+CM42+CT42</f>
        <v>4929544</v>
      </c>
      <c r="O42" s="23">
        <v>48720</v>
      </c>
      <c r="P42" s="24">
        <v>29</v>
      </c>
      <c r="Q42" s="21">
        <f t="shared" ref="Q42" si="522">P42*$D42</f>
        <v>81200</v>
      </c>
      <c r="R42" s="21">
        <f t="shared" ref="R42" si="523">O42*$E42</f>
        <v>483302.40000000002</v>
      </c>
      <c r="S42" s="21">
        <f t="shared" ref="S42" si="524">O42*$F42</f>
        <v>243600</v>
      </c>
      <c r="T42" s="21">
        <f t="shared" ref="T42" si="525">P42*$G42</f>
        <v>435000</v>
      </c>
      <c r="U42" s="22">
        <f t="shared" ref="U42" si="526">SUM(Q42:T42)</f>
        <v>1243102.3999999999</v>
      </c>
      <c r="V42" s="23">
        <f t="shared" si="445"/>
        <v>26880</v>
      </c>
      <c r="W42" s="24">
        <v>16</v>
      </c>
      <c r="X42" s="21">
        <f t="shared" ref="X42" si="527">W42*$D42</f>
        <v>44800</v>
      </c>
      <c r="Y42" s="21">
        <f t="shared" ref="Y42" si="528">V42*$E42</f>
        <v>266649.59999999998</v>
      </c>
      <c r="Z42" s="21">
        <f t="shared" ref="Z42" si="529">V42*$F42</f>
        <v>134400</v>
      </c>
      <c r="AA42" s="21">
        <f t="shared" ref="AA42" si="530">W42*$G42</f>
        <v>240000</v>
      </c>
      <c r="AB42" s="22">
        <f t="shared" ref="AB42" si="531">SUM(X42:AA42)</f>
        <v>685849.59999999998</v>
      </c>
      <c r="AC42" s="23">
        <f t="shared" si="446"/>
        <v>82320</v>
      </c>
      <c r="AD42" s="24">
        <v>49</v>
      </c>
      <c r="AE42" s="21">
        <f t="shared" ref="AE42" si="532">AD42*$D42</f>
        <v>137200</v>
      </c>
      <c r="AF42" s="21">
        <f t="shared" ref="AF42" si="533">AC42*$E42</f>
        <v>816614.40000000002</v>
      </c>
      <c r="AG42" s="21">
        <f t="shared" ref="AG42" si="534">AC42*$F42</f>
        <v>411600</v>
      </c>
      <c r="AH42" s="21">
        <f t="shared" ref="AH42" si="535">AD42*$G42</f>
        <v>735000</v>
      </c>
      <c r="AI42" s="22">
        <f t="shared" ref="AI42" si="536">SUM(AE42:AH42)</f>
        <v>2100414.4</v>
      </c>
      <c r="AJ42" s="23">
        <f t="shared" si="447"/>
        <v>0</v>
      </c>
      <c r="AK42" s="24"/>
      <c r="AL42" s="21"/>
      <c r="AM42" s="21"/>
      <c r="AN42" s="21"/>
      <c r="AO42" s="21"/>
      <c r="AP42" s="22"/>
      <c r="AQ42" s="23">
        <f t="shared" si="448"/>
        <v>21840</v>
      </c>
      <c r="AR42" s="24">
        <v>13</v>
      </c>
      <c r="AS42" s="21">
        <f t="shared" si="477"/>
        <v>36400</v>
      </c>
      <c r="AT42" s="21">
        <f t="shared" ref="AT42" si="537">AQ42*$E42</f>
        <v>216652.79999999999</v>
      </c>
      <c r="AU42" s="21">
        <f t="shared" ref="AU42" si="538">AQ42*$F42</f>
        <v>109200</v>
      </c>
      <c r="AV42" s="21">
        <f t="shared" ref="AV42" si="539">AR42*$G42</f>
        <v>195000</v>
      </c>
      <c r="AW42" s="22">
        <f t="shared" ref="AW42" si="540">SUM(AS42:AV42)</f>
        <v>557252.80000000005</v>
      </c>
      <c r="AX42" s="23">
        <f t="shared" si="449"/>
        <v>13440</v>
      </c>
      <c r="AY42" s="24">
        <v>8</v>
      </c>
      <c r="AZ42" s="21">
        <f t="shared" ref="AZ42" si="541">AY42*$D42</f>
        <v>22400</v>
      </c>
      <c r="BA42" s="21">
        <f t="shared" ref="BA42" si="542">AX42*$E42</f>
        <v>133324.79999999999</v>
      </c>
      <c r="BB42" s="21">
        <f t="shared" ref="BB42" si="543">AX42*$F42</f>
        <v>67200</v>
      </c>
      <c r="BC42" s="21">
        <f t="shared" ref="BC42" si="544">AY42*$G42</f>
        <v>120000</v>
      </c>
      <c r="BD42" s="22">
        <f t="shared" ref="BD42" si="545">SUM(AZ42:BC42)</f>
        <v>342924.79999999999</v>
      </c>
      <c r="BE42" s="23"/>
      <c r="BF42" s="24"/>
      <c r="BG42" s="21"/>
      <c r="BH42" s="21"/>
      <c r="BI42" s="21"/>
      <c r="BJ42" s="21"/>
      <c r="BK42" s="22"/>
      <c r="BL42" s="23"/>
      <c r="BM42" s="24"/>
      <c r="BN42" s="21"/>
      <c r="BO42" s="21"/>
      <c r="BP42" s="21"/>
      <c r="BQ42" s="21"/>
      <c r="BR42" s="22"/>
      <c r="BS42" s="23"/>
      <c r="BT42" s="24"/>
      <c r="BU42" s="21"/>
      <c r="BV42" s="21"/>
      <c r="BW42" s="21"/>
      <c r="BX42" s="21"/>
      <c r="BY42" s="22"/>
      <c r="BZ42" s="23"/>
      <c r="CA42" s="24"/>
      <c r="CB42" s="21"/>
      <c r="CC42" s="21"/>
      <c r="CD42" s="21"/>
      <c r="CE42" s="21"/>
      <c r="CF42" s="22"/>
      <c r="CG42" s="23"/>
      <c r="CH42" s="24"/>
      <c r="CI42" s="21"/>
      <c r="CJ42" s="21"/>
      <c r="CK42" s="21"/>
      <c r="CL42" s="21"/>
      <c r="CM42" s="22"/>
      <c r="CN42" s="23"/>
      <c r="CO42" s="24"/>
      <c r="CP42" s="21"/>
      <c r="CQ42" s="21"/>
      <c r="CR42" s="21"/>
      <c r="CS42" s="21"/>
      <c r="CT42" s="22"/>
    </row>
    <row r="43" spans="1:98" ht="24.75" customHeight="1">
      <c r="A43" s="83" t="s">
        <v>143</v>
      </c>
      <c r="B43" s="114"/>
      <c r="C43" s="18" t="s">
        <v>104</v>
      </c>
      <c r="D43" s="19">
        <f t="shared" si="444"/>
        <v>2800</v>
      </c>
      <c r="E43" s="20">
        <v>9.92</v>
      </c>
      <c r="F43" s="21">
        <v>5</v>
      </c>
      <c r="G43" s="22">
        <v>15000</v>
      </c>
      <c r="H43" s="19">
        <f t="shared" si="450"/>
        <v>0</v>
      </c>
      <c r="I43" s="21">
        <f t="shared" si="451"/>
        <v>0</v>
      </c>
      <c r="J43" s="21">
        <f t="shared" si="452"/>
        <v>0</v>
      </c>
      <c r="K43" s="21">
        <f t="shared" si="453"/>
        <v>0</v>
      </c>
      <c r="L43" s="21">
        <f t="shared" si="454"/>
        <v>0</v>
      </c>
      <c r="M43" s="21">
        <f t="shared" si="455"/>
        <v>0</v>
      </c>
      <c r="N43" s="22">
        <f t="shared" si="456"/>
        <v>0</v>
      </c>
      <c r="O43" s="23"/>
      <c r="P43" s="24"/>
      <c r="Q43" s="21">
        <f t="shared" si="457"/>
        <v>0</v>
      </c>
      <c r="R43" s="21">
        <f t="shared" si="458"/>
        <v>0</v>
      </c>
      <c r="S43" s="21">
        <f t="shared" si="459"/>
        <v>0</v>
      </c>
      <c r="T43" s="21">
        <f t="shared" si="460"/>
        <v>0</v>
      </c>
      <c r="U43" s="22">
        <f t="shared" si="461"/>
        <v>0</v>
      </c>
      <c r="V43" s="23"/>
      <c r="W43" s="24"/>
      <c r="X43" s="21">
        <f t="shared" si="462"/>
        <v>0</v>
      </c>
      <c r="Y43" s="21">
        <f t="shared" si="463"/>
        <v>0</v>
      </c>
      <c r="Z43" s="21">
        <f t="shared" si="464"/>
        <v>0</v>
      </c>
      <c r="AA43" s="21">
        <f t="shared" si="465"/>
        <v>0</v>
      </c>
      <c r="AB43" s="22">
        <f t="shared" si="466"/>
        <v>0</v>
      </c>
      <c r="AC43" s="23"/>
      <c r="AD43" s="24"/>
      <c r="AE43" s="21">
        <f t="shared" si="467"/>
        <v>0</v>
      </c>
      <c r="AF43" s="21">
        <f t="shared" si="468"/>
        <v>0</v>
      </c>
      <c r="AG43" s="21">
        <f t="shared" si="469"/>
        <v>0</v>
      </c>
      <c r="AH43" s="21">
        <f t="shared" si="470"/>
        <v>0</v>
      </c>
      <c r="AI43" s="22">
        <f t="shared" si="471"/>
        <v>0</v>
      </c>
      <c r="AJ43" s="23"/>
      <c r="AK43" s="24"/>
      <c r="AL43" s="21">
        <f t="shared" si="472"/>
        <v>0</v>
      </c>
      <c r="AM43" s="21">
        <f t="shared" si="473"/>
        <v>0</v>
      </c>
      <c r="AN43" s="21">
        <f t="shared" si="474"/>
        <v>0</v>
      </c>
      <c r="AO43" s="21">
        <f t="shared" si="475"/>
        <v>0</v>
      </c>
      <c r="AP43" s="22">
        <f t="shared" si="476"/>
        <v>0</v>
      </c>
      <c r="AQ43" s="23"/>
      <c r="AR43" s="24"/>
      <c r="AS43" s="21">
        <f t="shared" si="477"/>
        <v>0</v>
      </c>
      <c r="AT43" s="21">
        <f t="shared" si="478"/>
        <v>0</v>
      </c>
      <c r="AU43" s="21">
        <f t="shared" si="479"/>
        <v>0</v>
      </c>
      <c r="AV43" s="21">
        <f t="shared" si="480"/>
        <v>0</v>
      </c>
      <c r="AW43" s="22">
        <f t="shared" si="481"/>
        <v>0</v>
      </c>
      <c r="AX43" s="23"/>
      <c r="AY43" s="24"/>
      <c r="AZ43" s="21">
        <f t="shared" si="482"/>
        <v>0</v>
      </c>
      <c r="BA43" s="21">
        <f t="shared" si="483"/>
        <v>0</v>
      </c>
      <c r="BB43" s="21">
        <f t="shared" si="484"/>
        <v>0</v>
      </c>
      <c r="BC43" s="21">
        <f t="shared" si="485"/>
        <v>0</v>
      </c>
      <c r="BD43" s="22">
        <f t="shared" si="486"/>
        <v>0</v>
      </c>
      <c r="BE43" s="23"/>
      <c r="BF43" s="24"/>
      <c r="BG43" s="21">
        <f t="shared" si="487"/>
        <v>0</v>
      </c>
      <c r="BH43" s="21">
        <f t="shared" si="488"/>
        <v>0</v>
      </c>
      <c r="BI43" s="21">
        <f t="shared" si="489"/>
        <v>0</v>
      </c>
      <c r="BJ43" s="21">
        <f t="shared" si="490"/>
        <v>0</v>
      </c>
      <c r="BK43" s="22">
        <f t="shared" si="491"/>
        <v>0</v>
      </c>
      <c r="BL43" s="23"/>
      <c r="BM43" s="24"/>
      <c r="BN43" s="21">
        <f t="shared" si="492"/>
        <v>0</v>
      </c>
      <c r="BO43" s="21">
        <f t="shared" si="493"/>
        <v>0</v>
      </c>
      <c r="BP43" s="21">
        <f t="shared" si="494"/>
        <v>0</v>
      </c>
      <c r="BQ43" s="21">
        <f t="shared" si="495"/>
        <v>0</v>
      </c>
      <c r="BR43" s="22">
        <f t="shared" si="496"/>
        <v>0</v>
      </c>
      <c r="BS43" s="23"/>
      <c r="BT43" s="24"/>
      <c r="BU43" s="21">
        <f t="shared" si="497"/>
        <v>0</v>
      </c>
      <c r="BV43" s="21">
        <f t="shared" si="498"/>
        <v>0</v>
      </c>
      <c r="BW43" s="21">
        <f t="shared" si="499"/>
        <v>0</v>
      </c>
      <c r="BX43" s="21">
        <f t="shared" si="500"/>
        <v>0</v>
      </c>
      <c r="BY43" s="22">
        <f t="shared" si="501"/>
        <v>0</v>
      </c>
      <c r="BZ43" s="23"/>
      <c r="CA43" s="24"/>
      <c r="CB43" s="21">
        <f t="shared" si="502"/>
        <v>0</v>
      </c>
      <c r="CC43" s="21">
        <f t="shared" si="503"/>
        <v>0</v>
      </c>
      <c r="CD43" s="21">
        <f t="shared" si="504"/>
        <v>0</v>
      </c>
      <c r="CE43" s="21">
        <f t="shared" si="505"/>
        <v>0</v>
      </c>
      <c r="CF43" s="22">
        <f t="shared" si="506"/>
        <v>0</v>
      </c>
      <c r="CG43" s="23"/>
      <c r="CH43" s="24"/>
      <c r="CI43" s="21">
        <f t="shared" si="507"/>
        <v>0</v>
      </c>
      <c r="CJ43" s="21">
        <f t="shared" si="508"/>
        <v>0</v>
      </c>
      <c r="CK43" s="21">
        <f t="shared" si="509"/>
        <v>0</v>
      </c>
      <c r="CL43" s="21">
        <f t="shared" si="510"/>
        <v>0</v>
      </c>
      <c r="CM43" s="22">
        <f t="shared" si="511"/>
        <v>0</v>
      </c>
      <c r="CN43" s="23"/>
      <c r="CO43" s="24"/>
      <c r="CP43" s="21">
        <f t="shared" si="512"/>
        <v>0</v>
      </c>
      <c r="CQ43" s="21">
        <f t="shared" si="513"/>
        <v>0</v>
      </c>
      <c r="CR43" s="21">
        <f t="shared" si="514"/>
        <v>0</v>
      </c>
      <c r="CS43" s="21">
        <f t="shared" si="515"/>
        <v>0</v>
      </c>
      <c r="CT43" s="22">
        <f t="shared" si="516"/>
        <v>0</v>
      </c>
    </row>
    <row r="44" spans="1:98" ht="24.75" customHeight="1">
      <c r="A44" s="83" t="s">
        <v>144</v>
      </c>
      <c r="B44" s="114"/>
      <c r="C44" s="18" t="s">
        <v>54</v>
      </c>
      <c r="D44" s="19">
        <f t="shared" si="444"/>
        <v>2800</v>
      </c>
      <c r="E44" s="20">
        <v>9.92</v>
      </c>
      <c r="F44" s="21">
        <v>5</v>
      </c>
      <c r="G44" s="22">
        <v>15000</v>
      </c>
      <c r="H44" s="19">
        <f t="shared" si="450"/>
        <v>0</v>
      </c>
      <c r="I44" s="21">
        <f t="shared" si="451"/>
        <v>0</v>
      </c>
      <c r="J44" s="21">
        <f t="shared" si="452"/>
        <v>0</v>
      </c>
      <c r="K44" s="21">
        <f t="shared" si="453"/>
        <v>0</v>
      </c>
      <c r="L44" s="21">
        <f t="shared" si="454"/>
        <v>0</v>
      </c>
      <c r="M44" s="21">
        <f t="shared" si="455"/>
        <v>0</v>
      </c>
      <c r="N44" s="22">
        <f t="shared" si="456"/>
        <v>0</v>
      </c>
      <c r="O44" s="23"/>
      <c r="P44" s="24"/>
      <c r="Q44" s="21">
        <f t="shared" si="457"/>
        <v>0</v>
      </c>
      <c r="R44" s="21">
        <f t="shared" si="458"/>
        <v>0</v>
      </c>
      <c r="S44" s="21">
        <f t="shared" si="459"/>
        <v>0</v>
      </c>
      <c r="T44" s="21">
        <f t="shared" si="460"/>
        <v>0</v>
      </c>
      <c r="U44" s="22">
        <f t="shared" si="461"/>
        <v>0</v>
      </c>
      <c r="V44" s="23"/>
      <c r="W44" s="24"/>
      <c r="X44" s="21">
        <f t="shared" si="462"/>
        <v>0</v>
      </c>
      <c r="Y44" s="21">
        <f t="shared" si="463"/>
        <v>0</v>
      </c>
      <c r="Z44" s="21">
        <f t="shared" si="464"/>
        <v>0</v>
      </c>
      <c r="AA44" s="21">
        <f t="shared" si="465"/>
        <v>0</v>
      </c>
      <c r="AB44" s="22">
        <f t="shared" si="466"/>
        <v>0</v>
      </c>
      <c r="AC44" s="23"/>
      <c r="AD44" s="24"/>
      <c r="AE44" s="21">
        <f t="shared" si="467"/>
        <v>0</v>
      </c>
      <c r="AF44" s="21">
        <f t="shared" si="468"/>
        <v>0</v>
      </c>
      <c r="AG44" s="21">
        <f t="shared" si="469"/>
        <v>0</v>
      </c>
      <c r="AH44" s="21">
        <f t="shared" si="470"/>
        <v>0</v>
      </c>
      <c r="AI44" s="22">
        <f t="shared" si="471"/>
        <v>0</v>
      </c>
      <c r="AJ44" s="23"/>
      <c r="AK44" s="24"/>
      <c r="AL44" s="21">
        <f t="shared" si="472"/>
        <v>0</v>
      </c>
      <c r="AM44" s="21">
        <f t="shared" si="473"/>
        <v>0</v>
      </c>
      <c r="AN44" s="21">
        <f t="shared" si="474"/>
        <v>0</v>
      </c>
      <c r="AO44" s="21">
        <f t="shared" si="475"/>
        <v>0</v>
      </c>
      <c r="AP44" s="22">
        <f t="shared" si="476"/>
        <v>0</v>
      </c>
      <c r="AQ44" s="23"/>
      <c r="AR44" s="24"/>
      <c r="AS44" s="21">
        <f t="shared" si="477"/>
        <v>0</v>
      </c>
      <c r="AT44" s="21">
        <f t="shared" si="478"/>
        <v>0</v>
      </c>
      <c r="AU44" s="21">
        <f t="shared" si="479"/>
        <v>0</v>
      </c>
      <c r="AV44" s="21">
        <f t="shared" si="480"/>
        <v>0</v>
      </c>
      <c r="AW44" s="22">
        <f t="shared" si="481"/>
        <v>0</v>
      </c>
      <c r="AX44" s="23"/>
      <c r="AY44" s="24"/>
      <c r="AZ44" s="21">
        <f t="shared" si="482"/>
        <v>0</v>
      </c>
      <c r="BA44" s="21">
        <f t="shared" si="483"/>
        <v>0</v>
      </c>
      <c r="BB44" s="21">
        <f t="shared" si="484"/>
        <v>0</v>
      </c>
      <c r="BC44" s="21">
        <f t="shared" si="485"/>
        <v>0</v>
      </c>
      <c r="BD44" s="22">
        <f t="shared" si="486"/>
        <v>0</v>
      </c>
      <c r="BE44" s="23"/>
      <c r="BF44" s="24"/>
      <c r="BG44" s="21">
        <f t="shared" si="487"/>
        <v>0</v>
      </c>
      <c r="BH44" s="21">
        <f t="shared" si="488"/>
        <v>0</v>
      </c>
      <c r="BI44" s="21">
        <f t="shared" si="489"/>
        <v>0</v>
      </c>
      <c r="BJ44" s="21">
        <f t="shared" si="490"/>
        <v>0</v>
      </c>
      <c r="BK44" s="22">
        <f t="shared" si="491"/>
        <v>0</v>
      </c>
      <c r="BL44" s="23"/>
      <c r="BM44" s="24"/>
      <c r="BN44" s="21">
        <f t="shared" si="492"/>
        <v>0</v>
      </c>
      <c r="BO44" s="21">
        <f t="shared" si="493"/>
        <v>0</v>
      </c>
      <c r="BP44" s="21">
        <f t="shared" si="494"/>
        <v>0</v>
      </c>
      <c r="BQ44" s="21">
        <f t="shared" si="495"/>
        <v>0</v>
      </c>
      <c r="BR44" s="22">
        <f t="shared" si="496"/>
        <v>0</v>
      </c>
      <c r="BS44" s="23"/>
      <c r="BT44" s="24"/>
      <c r="BU44" s="21">
        <f t="shared" si="497"/>
        <v>0</v>
      </c>
      <c r="BV44" s="21">
        <f t="shared" si="498"/>
        <v>0</v>
      </c>
      <c r="BW44" s="21">
        <f t="shared" si="499"/>
        <v>0</v>
      </c>
      <c r="BX44" s="21">
        <f t="shared" si="500"/>
        <v>0</v>
      </c>
      <c r="BY44" s="22">
        <f t="shared" si="501"/>
        <v>0</v>
      </c>
      <c r="BZ44" s="23"/>
      <c r="CA44" s="24"/>
      <c r="CB44" s="21">
        <f t="shared" si="502"/>
        <v>0</v>
      </c>
      <c r="CC44" s="21">
        <f t="shared" si="503"/>
        <v>0</v>
      </c>
      <c r="CD44" s="21">
        <f t="shared" si="504"/>
        <v>0</v>
      </c>
      <c r="CE44" s="21">
        <f t="shared" si="505"/>
        <v>0</v>
      </c>
      <c r="CF44" s="22">
        <f t="shared" si="506"/>
        <v>0</v>
      </c>
      <c r="CG44" s="23"/>
      <c r="CH44" s="24"/>
      <c r="CI44" s="21">
        <f t="shared" si="507"/>
        <v>0</v>
      </c>
      <c r="CJ44" s="21">
        <f t="shared" si="508"/>
        <v>0</v>
      </c>
      <c r="CK44" s="21">
        <f t="shared" si="509"/>
        <v>0</v>
      </c>
      <c r="CL44" s="21">
        <f t="shared" si="510"/>
        <v>0</v>
      </c>
      <c r="CM44" s="22">
        <f t="shared" si="511"/>
        <v>0</v>
      </c>
      <c r="CN44" s="23"/>
      <c r="CO44" s="24"/>
      <c r="CP44" s="21">
        <f t="shared" si="512"/>
        <v>0</v>
      </c>
      <c r="CQ44" s="21">
        <f t="shared" si="513"/>
        <v>0</v>
      </c>
      <c r="CR44" s="21">
        <f t="shared" si="514"/>
        <v>0</v>
      </c>
      <c r="CS44" s="21">
        <f t="shared" si="515"/>
        <v>0</v>
      </c>
      <c r="CT44" s="22">
        <f t="shared" si="516"/>
        <v>0</v>
      </c>
    </row>
    <row r="45" spans="1:98" ht="24.75" customHeight="1">
      <c r="A45" s="83" t="s">
        <v>145</v>
      </c>
      <c r="B45" s="114"/>
      <c r="C45" s="18" t="s">
        <v>55</v>
      </c>
      <c r="D45" s="19">
        <f t="shared" si="444"/>
        <v>2800</v>
      </c>
      <c r="E45" s="20">
        <v>9.92</v>
      </c>
      <c r="F45" s="21">
        <v>5</v>
      </c>
      <c r="G45" s="22">
        <v>15000</v>
      </c>
      <c r="H45" s="19">
        <f t="shared" si="450"/>
        <v>0</v>
      </c>
      <c r="I45" s="21">
        <f>P45+W45+AD45+AK45+AR45+AY45+BF45+BM45+BT45+CA45+CH45+CO45</f>
        <v>0</v>
      </c>
      <c r="J45" s="21">
        <f t="shared" si="452"/>
        <v>0</v>
      </c>
      <c r="K45" s="21">
        <f t="shared" si="453"/>
        <v>0</v>
      </c>
      <c r="L45" s="21">
        <f t="shared" si="454"/>
        <v>0</v>
      </c>
      <c r="M45" s="21">
        <f t="shared" si="455"/>
        <v>0</v>
      </c>
      <c r="N45" s="22">
        <f t="shared" si="456"/>
        <v>0</v>
      </c>
      <c r="O45" s="23"/>
      <c r="P45" s="24"/>
      <c r="Q45" s="21">
        <f t="shared" si="457"/>
        <v>0</v>
      </c>
      <c r="R45" s="21">
        <f t="shared" si="458"/>
        <v>0</v>
      </c>
      <c r="S45" s="21">
        <f t="shared" si="459"/>
        <v>0</v>
      </c>
      <c r="T45" s="21">
        <f t="shared" si="460"/>
        <v>0</v>
      </c>
      <c r="U45" s="22">
        <f t="shared" si="461"/>
        <v>0</v>
      </c>
      <c r="V45" s="23"/>
      <c r="W45" s="24"/>
      <c r="X45" s="21">
        <f t="shared" si="462"/>
        <v>0</v>
      </c>
      <c r="Y45" s="21">
        <f t="shared" si="463"/>
        <v>0</v>
      </c>
      <c r="Z45" s="21">
        <f t="shared" si="464"/>
        <v>0</v>
      </c>
      <c r="AA45" s="21">
        <f t="shared" si="465"/>
        <v>0</v>
      </c>
      <c r="AB45" s="22">
        <f t="shared" si="466"/>
        <v>0</v>
      </c>
      <c r="AC45" s="23"/>
      <c r="AD45" s="24"/>
      <c r="AE45" s="21">
        <f t="shared" si="467"/>
        <v>0</v>
      </c>
      <c r="AF45" s="21">
        <f t="shared" si="468"/>
        <v>0</v>
      </c>
      <c r="AG45" s="21">
        <f t="shared" si="469"/>
        <v>0</v>
      </c>
      <c r="AH45" s="21">
        <f t="shared" si="470"/>
        <v>0</v>
      </c>
      <c r="AI45" s="22">
        <f t="shared" si="471"/>
        <v>0</v>
      </c>
      <c r="AJ45" s="23"/>
      <c r="AK45" s="24"/>
      <c r="AL45" s="21">
        <f>AK45*$D45</f>
        <v>0</v>
      </c>
      <c r="AM45" s="21">
        <f t="shared" si="473"/>
        <v>0</v>
      </c>
      <c r="AN45" s="21">
        <f t="shared" si="474"/>
        <v>0</v>
      </c>
      <c r="AO45" s="21">
        <f>AK45*$G45</f>
        <v>0</v>
      </c>
      <c r="AP45" s="22">
        <f t="shared" si="476"/>
        <v>0</v>
      </c>
      <c r="AQ45" s="23"/>
      <c r="AR45" s="24"/>
      <c r="AS45" s="21">
        <f t="shared" si="477"/>
        <v>0</v>
      </c>
      <c r="AT45" s="21">
        <f t="shared" si="478"/>
        <v>0</v>
      </c>
      <c r="AU45" s="21">
        <f t="shared" si="479"/>
        <v>0</v>
      </c>
      <c r="AV45" s="21">
        <f t="shared" si="480"/>
        <v>0</v>
      </c>
      <c r="AW45" s="22">
        <f t="shared" si="481"/>
        <v>0</v>
      </c>
      <c r="AX45" s="23"/>
      <c r="AY45" s="24"/>
      <c r="AZ45" s="21">
        <f t="shared" si="482"/>
        <v>0</v>
      </c>
      <c r="BA45" s="21">
        <f t="shared" si="483"/>
        <v>0</v>
      </c>
      <c r="BB45" s="21">
        <f t="shared" si="484"/>
        <v>0</v>
      </c>
      <c r="BC45" s="21">
        <f t="shared" si="485"/>
        <v>0</v>
      </c>
      <c r="BD45" s="22">
        <f t="shared" si="486"/>
        <v>0</v>
      </c>
      <c r="BE45" s="23"/>
      <c r="BF45" s="24"/>
      <c r="BG45" s="21">
        <f t="shared" si="487"/>
        <v>0</v>
      </c>
      <c r="BH45" s="21">
        <f t="shared" si="488"/>
        <v>0</v>
      </c>
      <c r="BI45" s="21">
        <f t="shared" si="489"/>
        <v>0</v>
      </c>
      <c r="BJ45" s="21">
        <f t="shared" si="490"/>
        <v>0</v>
      </c>
      <c r="BK45" s="22">
        <f t="shared" si="491"/>
        <v>0</v>
      </c>
      <c r="BL45" s="23"/>
      <c r="BM45" s="24"/>
      <c r="BN45" s="21">
        <f t="shared" si="492"/>
        <v>0</v>
      </c>
      <c r="BO45" s="21">
        <f t="shared" si="493"/>
        <v>0</v>
      </c>
      <c r="BP45" s="21">
        <f t="shared" si="494"/>
        <v>0</v>
      </c>
      <c r="BQ45" s="21">
        <f t="shared" si="495"/>
        <v>0</v>
      </c>
      <c r="BR45" s="22">
        <f t="shared" si="496"/>
        <v>0</v>
      </c>
      <c r="BS45" s="23"/>
      <c r="BT45" s="24"/>
      <c r="BU45" s="21">
        <f t="shared" si="497"/>
        <v>0</v>
      </c>
      <c r="BV45" s="21">
        <f t="shared" si="498"/>
        <v>0</v>
      </c>
      <c r="BW45" s="21">
        <f t="shared" si="499"/>
        <v>0</v>
      </c>
      <c r="BX45" s="21">
        <f t="shared" si="500"/>
        <v>0</v>
      </c>
      <c r="BY45" s="22">
        <f t="shared" si="501"/>
        <v>0</v>
      </c>
      <c r="BZ45" s="23"/>
      <c r="CA45" s="24"/>
      <c r="CB45" s="21">
        <f t="shared" si="502"/>
        <v>0</v>
      </c>
      <c r="CC45" s="21">
        <f t="shared" si="503"/>
        <v>0</v>
      </c>
      <c r="CD45" s="21">
        <f t="shared" si="504"/>
        <v>0</v>
      </c>
      <c r="CE45" s="21">
        <f t="shared" si="505"/>
        <v>0</v>
      </c>
      <c r="CF45" s="22">
        <f t="shared" si="506"/>
        <v>0</v>
      </c>
      <c r="CG45" s="23"/>
      <c r="CH45" s="24"/>
      <c r="CI45" s="21">
        <f t="shared" si="507"/>
        <v>0</v>
      </c>
      <c r="CJ45" s="21">
        <f t="shared" si="508"/>
        <v>0</v>
      </c>
      <c r="CK45" s="21">
        <f t="shared" si="509"/>
        <v>0</v>
      </c>
      <c r="CL45" s="21">
        <f t="shared" si="510"/>
        <v>0</v>
      </c>
      <c r="CM45" s="22">
        <f t="shared" si="511"/>
        <v>0</v>
      </c>
      <c r="CN45" s="23"/>
      <c r="CO45" s="24"/>
      <c r="CP45" s="21">
        <f t="shared" si="512"/>
        <v>0</v>
      </c>
      <c r="CQ45" s="21">
        <f t="shared" si="513"/>
        <v>0</v>
      </c>
      <c r="CR45" s="21">
        <f t="shared" si="514"/>
        <v>0</v>
      </c>
      <c r="CS45" s="21">
        <f t="shared" si="515"/>
        <v>0</v>
      </c>
      <c r="CT45" s="22">
        <f t="shared" si="516"/>
        <v>0</v>
      </c>
    </row>
    <row r="46" spans="1:98" ht="24.75" customHeight="1">
      <c r="A46" s="83" t="s">
        <v>146</v>
      </c>
      <c r="B46" s="114"/>
      <c r="C46" s="18" t="s">
        <v>56</v>
      </c>
      <c r="D46" s="19">
        <f t="shared" si="444"/>
        <v>2800</v>
      </c>
      <c r="E46" s="20">
        <v>9.92</v>
      </c>
      <c r="F46" s="21">
        <v>5</v>
      </c>
      <c r="G46" s="22">
        <v>15000</v>
      </c>
      <c r="H46" s="19">
        <f t="shared" si="450"/>
        <v>50400</v>
      </c>
      <c r="I46" s="21">
        <f>P46+W46+AD46+AK46+AR46+AY46+BF46+BM46+BT46+CA46+CH46+CO46</f>
        <v>30</v>
      </c>
      <c r="J46" s="21">
        <f t="shared" si="452"/>
        <v>84000</v>
      </c>
      <c r="K46" s="21">
        <f t="shared" si="453"/>
        <v>499968</v>
      </c>
      <c r="L46" s="21">
        <f t="shared" si="454"/>
        <v>252000</v>
      </c>
      <c r="M46" s="21">
        <f t="shared" si="455"/>
        <v>450000</v>
      </c>
      <c r="N46" s="22">
        <f t="shared" si="456"/>
        <v>1285968</v>
      </c>
      <c r="O46" s="23"/>
      <c r="P46" s="24"/>
      <c r="Q46" s="21">
        <f t="shared" si="457"/>
        <v>0</v>
      </c>
      <c r="R46" s="21">
        <f t="shared" si="458"/>
        <v>0</v>
      </c>
      <c r="S46" s="21">
        <f t="shared" si="459"/>
        <v>0</v>
      </c>
      <c r="T46" s="21">
        <f t="shared" si="460"/>
        <v>0</v>
      </c>
      <c r="U46" s="22">
        <f t="shared" si="461"/>
        <v>0</v>
      </c>
      <c r="V46" s="23"/>
      <c r="W46" s="24"/>
      <c r="X46" s="21">
        <f t="shared" si="462"/>
        <v>0</v>
      </c>
      <c r="Y46" s="21">
        <f t="shared" si="463"/>
        <v>0</v>
      </c>
      <c r="Z46" s="21">
        <f t="shared" si="464"/>
        <v>0</v>
      </c>
      <c r="AA46" s="21">
        <f t="shared" si="465"/>
        <v>0</v>
      </c>
      <c r="AB46" s="22">
        <f t="shared" si="466"/>
        <v>0</v>
      </c>
      <c r="AC46" s="23">
        <f t="shared" ref="AC46" si="546">AD46*1680</f>
        <v>23520</v>
      </c>
      <c r="AD46" s="24">
        <v>14</v>
      </c>
      <c r="AE46" s="21">
        <f t="shared" si="467"/>
        <v>39200</v>
      </c>
      <c r="AF46" s="21">
        <f t="shared" si="468"/>
        <v>233318.39999999999</v>
      </c>
      <c r="AG46" s="21">
        <f t="shared" si="469"/>
        <v>117600</v>
      </c>
      <c r="AH46" s="21">
        <f t="shared" si="470"/>
        <v>210000</v>
      </c>
      <c r="AI46" s="22">
        <f t="shared" si="471"/>
        <v>600118.4</v>
      </c>
      <c r="AJ46" s="23">
        <f>AK46*1680</f>
        <v>23520</v>
      </c>
      <c r="AK46" s="75">
        <v>14</v>
      </c>
      <c r="AL46" s="21">
        <f>AK46*$D46</f>
        <v>39200</v>
      </c>
      <c r="AM46" s="21">
        <f t="shared" si="473"/>
        <v>233318.39999999999</v>
      </c>
      <c r="AN46" s="21">
        <f t="shared" si="474"/>
        <v>117600</v>
      </c>
      <c r="AO46" s="21">
        <f>AK46*$G46</f>
        <v>210000</v>
      </c>
      <c r="AP46" s="22">
        <f t="shared" si="476"/>
        <v>600118.4</v>
      </c>
      <c r="AQ46" s="23">
        <f t="shared" ref="AQ46:AQ47" si="547">AR46*1680</f>
        <v>0</v>
      </c>
      <c r="AR46" s="24"/>
      <c r="AS46" s="21">
        <f t="shared" si="477"/>
        <v>0</v>
      </c>
      <c r="AT46" s="21">
        <f t="shared" si="478"/>
        <v>0</v>
      </c>
      <c r="AU46" s="21">
        <f t="shared" si="479"/>
        <v>0</v>
      </c>
      <c r="AV46" s="21">
        <f t="shared" si="480"/>
        <v>0</v>
      </c>
      <c r="AW46" s="22">
        <f t="shared" si="481"/>
        <v>0</v>
      </c>
      <c r="AX46" s="23">
        <f t="shared" ref="AX46:AX48" si="548">AY46*1680</f>
        <v>3360</v>
      </c>
      <c r="AY46" s="24">
        <v>2</v>
      </c>
      <c r="AZ46" s="21">
        <f t="shared" si="482"/>
        <v>5600</v>
      </c>
      <c r="BA46" s="21">
        <f t="shared" si="483"/>
        <v>33331.199999999997</v>
      </c>
      <c r="BB46" s="21">
        <f t="shared" si="484"/>
        <v>16800</v>
      </c>
      <c r="BC46" s="21">
        <f t="shared" si="485"/>
        <v>30000</v>
      </c>
      <c r="BD46" s="22">
        <f t="shared" si="486"/>
        <v>85731.199999999997</v>
      </c>
      <c r="BE46" s="23"/>
      <c r="BF46" s="24"/>
      <c r="BG46" s="21">
        <f t="shared" si="487"/>
        <v>0</v>
      </c>
      <c r="BH46" s="21">
        <f t="shared" si="488"/>
        <v>0</v>
      </c>
      <c r="BI46" s="21">
        <f t="shared" si="489"/>
        <v>0</v>
      </c>
      <c r="BJ46" s="21">
        <f t="shared" si="490"/>
        <v>0</v>
      </c>
      <c r="BK46" s="22">
        <f t="shared" si="491"/>
        <v>0</v>
      </c>
      <c r="BL46" s="23"/>
      <c r="BM46" s="24"/>
      <c r="BN46" s="21">
        <f t="shared" si="492"/>
        <v>0</v>
      </c>
      <c r="BO46" s="21">
        <f t="shared" si="493"/>
        <v>0</v>
      </c>
      <c r="BP46" s="21">
        <f t="shared" si="494"/>
        <v>0</v>
      </c>
      <c r="BQ46" s="21">
        <f t="shared" si="495"/>
        <v>0</v>
      </c>
      <c r="BR46" s="22">
        <f t="shared" si="496"/>
        <v>0</v>
      </c>
      <c r="BS46" s="23"/>
      <c r="BT46" s="24"/>
      <c r="BU46" s="21">
        <f t="shared" si="497"/>
        <v>0</v>
      </c>
      <c r="BV46" s="21">
        <f t="shared" si="498"/>
        <v>0</v>
      </c>
      <c r="BW46" s="21">
        <f t="shared" si="499"/>
        <v>0</v>
      </c>
      <c r="BX46" s="21">
        <f t="shared" si="500"/>
        <v>0</v>
      </c>
      <c r="BY46" s="22">
        <f t="shared" si="501"/>
        <v>0</v>
      </c>
      <c r="BZ46" s="23"/>
      <c r="CA46" s="24"/>
      <c r="CB46" s="21">
        <f t="shared" si="502"/>
        <v>0</v>
      </c>
      <c r="CC46" s="21">
        <f t="shared" si="503"/>
        <v>0</v>
      </c>
      <c r="CD46" s="21">
        <f t="shared" si="504"/>
        <v>0</v>
      </c>
      <c r="CE46" s="21">
        <f t="shared" si="505"/>
        <v>0</v>
      </c>
      <c r="CF46" s="22">
        <f t="shared" si="506"/>
        <v>0</v>
      </c>
      <c r="CG46" s="23"/>
      <c r="CH46" s="24"/>
      <c r="CI46" s="21">
        <f t="shared" si="507"/>
        <v>0</v>
      </c>
      <c r="CJ46" s="21">
        <f t="shared" si="508"/>
        <v>0</v>
      </c>
      <c r="CK46" s="21">
        <f t="shared" si="509"/>
        <v>0</v>
      </c>
      <c r="CL46" s="21">
        <f t="shared" si="510"/>
        <v>0</v>
      </c>
      <c r="CM46" s="22">
        <f t="shared" si="511"/>
        <v>0</v>
      </c>
      <c r="CN46" s="23"/>
      <c r="CO46" s="24"/>
      <c r="CP46" s="21">
        <f t="shared" si="512"/>
        <v>0</v>
      </c>
      <c r="CQ46" s="21">
        <f t="shared" si="513"/>
        <v>0</v>
      </c>
      <c r="CR46" s="21">
        <f t="shared" si="514"/>
        <v>0</v>
      </c>
      <c r="CS46" s="21">
        <f t="shared" si="515"/>
        <v>0</v>
      </c>
      <c r="CT46" s="22">
        <f t="shared" si="516"/>
        <v>0</v>
      </c>
    </row>
    <row r="47" spans="1:98" ht="24.75" customHeight="1">
      <c r="A47" s="83" t="s">
        <v>147</v>
      </c>
      <c r="B47" s="114"/>
      <c r="C47" s="42" t="s">
        <v>106</v>
      </c>
      <c r="D47" s="43">
        <f t="shared" si="444"/>
        <v>2800</v>
      </c>
      <c r="E47" s="44">
        <v>9.92</v>
      </c>
      <c r="F47" s="45">
        <v>5</v>
      </c>
      <c r="G47" s="46">
        <v>15000</v>
      </c>
      <c r="H47" s="43">
        <f t="shared" si="450"/>
        <v>174720</v>
      </c>
      <c r="I47" s="45">
        <f>P47+W47+AD47+AK47+AR47+AY47+BF47+BM47+BT47+CA47+CH47+CO47</f>
        <v>104</v>
      </c>
      <c r="J47" s="45">
        <f t="shared" si="452"/>
        <v>291200</v>
      </c>
      <c r="K47" s="45">
        <f t="shared" si="453"/>
        <v>1733222.3999999999</v>
      </c>
      <c r="L47" s="45">
        <f t="shared" si="454"/>
        <v>873600</v>
      </c>
      <c r="M47" s="45">
        <f t="shared" si="455"/>
        <v>1560000</v>
      </c>
      <c r="N47" s="46">
        <f t="shared" si="456"/>
        <v>4458022.4000000004</v>
      </c>
      <c r="O47" s="47"/>
      <c r="P47" s="48"/>
      <c r="Q47" s="45">
        <f t="shared" si="457"/>
        <v>0</v>
      </c>
      <c r="R47" s="45">
        <f t="shared" si="458"/>
        <v>0</v>
      </c>
      <c r="S47" s="45">
        <f t="shared" si="459"/>
        <v>0</v>
      </c>
      <c r="T47" s="45">
        <f t="shared" si="460"/>
        <v>0</v>
      </c>
      <c r="U47" s="46">
        <f t="shared" si="461"/>
        <v>0</v>
      </c>
      <c r="V47" s="47"/>
      <c r="W47" s="48"/>
      <c r="X47" s="45">
        <f t="shared" si="462"/>
        <v>0</v>
      </c>
      <c r="Y47" s="45">
        <f t="shared" si="463"/>
        <v>0</v>
      </c>
      <c r="Z47" s="45">
        <f t="shared" si="464"/>
        <v>0</v>
      </c>
      <c r="AA47" s="45">
        <f t="shared" si="465"/>
        <v>0</v>
      </c>
      <c r="AB47" s="46">
        <f t="shared" si="466"/>
        <v>0</v>
      </c>
      <c r="AC47" s="47"/>
      <c r="AD47" s="48"/>
      <c r="AE47" s="45">
        <v>0</v>
      </c>
      <c r="AF47" s="45">
        <v>0</v>
      </c>
      <c r="AG47" s="45">
        <v>0</v>
      </c>
      <c r="AH47" s="45">
        <v>0</v>
      </c>
      <c r="AI47" s="46">
        <v>0</v>
      </c>
      <c r="AJ47" s="47"/>
      <c r="AK47" s="48"/>
      <c r="AL47" s="45">
        <v>0</v>
      </c>
      <c r="AM47" s="45">
        <v>0</v>
      </c>
      <c r="AN47" s="45">
        <v>0</v>
      </c>
      <c r="AO47" s="45">
        <v>0</v>
      </c>
      <c r="AP47" s="46">
        <v>0</v>
      </c>
      <c r="AQ47" s="47">
        <f t="shared" si="547"/>
        <v>58800</v>
      </c>
      <c r="AR47" s="48">
        <v>35</v>
      </c>
      <c r="AS47" s="45">
        <f t="shared" si="477"/>
        <v>98000</v>
      </c>
      <c r="AT47" s="45">
        <f t="shared" si="478"/>
        <v>583296</v>
      </c>
      <c r="AU47" s="45">
        <f t="shared" si="479"/>
        <v>294000</v>
      </c>
      <c r="AV47" s="45">
        <f t="shared" si="480"/>
        <v>525000</v>
      </c>
      <c r="AW47" s="46">
        <f t="shared" si="481"/>
        <v>1500296</v>
      </c>
      <c r="AX47" s="47">
        <f t="shared" si="548"/>
        <v>115920</v>
      </c>
      <c r="AY47" s="48">
        <v>69</v>
      </c>
      <c r="AZ47" s="45">
        <f t="shared" si="482"/>
        <v>193200</v>
      </c>
      <c r="BA47" s="45">
        <f t="shared" si="483"/>
        <v>1149926.3999999999</v>
      </c>
      <c r="BB47" s="45">
        <f t="shared" si="484"/>
        <v>579600</v>
      </c>
      <c r="BC47" s="45">
        <f t="shared" si="485"/>
        <v>1035000</v>
      </c>
      <c r="BD47" s="46">
        <f t="shared" si="486"/>
        <v>2957726.4</v>
      </c>
      <c r="BE47" s="47"/>
      <c r="BF47" s="48"/>
      <c r="BG47" s="45">
        <f t="shared" si="487"/>
        <v>0</v>
      </c>
      <c r="BH47" s="45">
        <f t="shared" si="488"/>
        <v>0</v>
      </c>
      <c r="BI47" s="45">
        <f t="shared" si="489"/>
        <v>0</v>
      </c>
      <c r="BJ47" s="45">
        <f t="shared" si="490"/>
        <v>0</v>
      </c>
      <c r="BK47" s="46">
        <f t="shared" si="491"/>
        <v>0</v>
      </c>
      <c r="BL47" s="47"/>
      <c r="BM47" s="48"/>
      <c r="BN47" s="45">
        <f t="shared" si="492"/>
        <v>0</v>
      </c>
      <c r="BO47" s="45">
        <f t="shared" si="493"/>
        <v>0</v>
      </c>
      <c r="BP47" s="45">
        <f t="shared" si="494"/>
        <v>0</v>
      </c>
      <c r="BQ47" s="45">
        <f t="shared" si="495"/>
        <v>0</v>
      </c>
      <c r="BR47" s="46">
        <f t="shared" si="496"/>
        <v>0</v>
      </c>
      <c r="BS47" s="47"/>
      <c r="BT47" s="48"/>
      <c r="BU47" s="45">
        <f t="shared" si="497"/>
        <v>0</v>
      </c>
      <c r="BV47" s="45">
        <f t="shared" si="498"/>
        <v>0</v>
      </c>
      <c r="BW47" s="45">
        <f t="shared" si="499"/>
        <v>0</v>
      </c>
      <c r="BX47" s="45">
        <f t="shared" si="500"/>
        <v>0</v>
      </c>
      <c r="BY47" s="46">
        <f t="shared" si="501"/>
        <v>0</v>
      </c>
      <c r="BZ47" s="47"/>
      <c r="CA47" s="48"/>
      <c r="CB47" s="45">
        <f t="shared" si="502"/>
        <v>0</v>
      </c>
      <c r="CC47" s="45">
        <f t="shared" si="503"/>
        <v>0</v>
      </c>
      <c r="CD47" s="45">
        <f t="shared" si="504"/>
        <v>0</v>
      </c>
      <c r="CE47" s="45">
        <f t="shared" si="505"/>
        <v>0</v>
      </c>
      <c r="CF47" s="46">
        <f t="shared" si="506"/>
        <v>0</v>
      </c>
      <c r="CG47" s="47"/>
      <c r="CH47" s="48"/>
      <c r="CI47" s="45">
        <f t="shared" si="507"/>
        <v>0</v>
      </c>
      <c r="CJ47" s="45">
        <f t="shared" si="508"/>
        <v>0</v>
      </c>
      <c r="CK47" s="45">
        <f t="shared" si="509"/>
        <v>0</v>
      </c>
      <c r="CL47" s="45">
        <f t="shared" si="510"/>
        <v>0</v>
      </c>
      <c r="CM47" s="46">
        <f t="shared" si="511"/>
        <v>0</v>
      </c>
      <c r="CN47" s="47"/>
      <c r="CO47" s="48"/>
      <c r="CP47" s="45">
        <f t="shared" si="512"/>
        <v>0</v>
      </c>
      <c r="CQ47" s="45">
        <f t="shared" si="513"/>
        <v>0</v>
      </c>
      <c r="CR47" s="45">
        <f t="shared" si="514"/>
        <v>0</v>
      </c>
      <c r="CS47" s="45">
        <f t="shared" si="515"/>
        <v>0</v>
      </c>
      <c r="CT47" s="46">
        <f t="shared" si="516"/>
        <v>0</v>
      </c>
    </row>
    <row r="48" spans="1:98" ht="24.75" customHeight="1">
      <c r="A48" s="83" t="s">
        <v>148</v>
      </c>
      <c r="B48" s="114"/>
      <c r="C48" s="42" t="s">
        <v>107</v>
      </c>
      <c r="D48" s="43">
        <f t="shared" si="444"/>
        <v>2800</v>
      </c>
      <c r="E48" s="44">
        <v>9.92</v>
      </c>
      <c r="F48" s="45">
        <v>5</v>
      </c>
      <c r="G48" s="46">
        <v>15000</v>
      </c>
      <c r="H48" s="43">
        <f t="shared" si="69"/>
        <v>0</v>
      </c>
      <c r="I48" s="45">
        <f>P48+W48+AD48+AK48+AR48+AY48+BF48+BM48+BT48+CA48+CH48+CO48</f>
        <v>0</v>
      </c>
      <c r="J48" s="45">
        <f t="shared" si="71"/>
        <v>0</v>
      </c>
      <c r="K48" s="45">
        <f t="shared" si="72"/>
        <v>0</v>
      </c>
      <c r="L48" s="45">
        <f t="shared" si="73"/>
        <v>0</v>
      </c>
      <c r="M48" s="45">
        <f t="shared" si="74"/>
        <v>0</v>
      </c>
      <c r="N48" s="46">
        <f t="shared" si="75"/>
        <v>0</v>
      </c>
      <c r="O48" s="47"/>
      <c r="P48" s="48"/>
      <c r="Q48" s="45">
        <f t="shared" si="4"/>
        <v>0</v>
      </c>
      <c r="R48" s="45">
        <f t="shared" si="5"/>
        <v>0</v>
      </c>
      <c r="S48" s="45">
        <f t="shared" si="6"/>
        <v>0</v>
      </c>
      <c r="T48" s="45">
        <f t="shared" si="7"/>
        <v>0</v>
      </c>
      <c r="U48" s="46">
        <f t="shared" si="8"/>
        <v>0</v>
      </c>
      <c r="V48" s="47"/>
      <c r="W48" s="48"/>
      <c r="X48" s="45">
        <f t="shared" si="10"/>
        <v>0</v>
      </c>
      <c r="Y48" s="45">
        <f t="shared" si="11"/>
        <v>0</v>
      </c>
      <c r="Z48" s="45">
        <f t="shared" si="12"/>
        <v>0</v>
      </c>
      <c r="AA48" s="45">
        <f t="shared" si="13"/>
        <v>0</v>
      </c>
      <c r="AB48" s="46">
        <f t="shared" si="14"/>
        <v>0</v>
      </c>
      <c r="AC48" s="47"/>
      <c r="AD48" s="48"/>
      <c r="AE48" s="45">
        <v>0</v>
      </c>
      <c r="AF48" s="45">
        <v>0</v>
      </c>
      <c r="AG48" s="45">
        <v>0</v>
      </c>
      <c r="AH48" s="45">
        <v>0</v>
      </c>
      <c r="AI48" s="46">
        <v>0</v>
      </c>
      <c r="AJ48" s="47"/>
      <c r="AK48" s="48"/>
      <c r="AL48" s="45">
        <v>0</v>
      </c>
      <c r="AM48" s="45">
        <v>0</v>
      </c>
      <c r="AN48" s="45">
        <v>0</v>
      </c>
      <c r="AO48" s="45">
        <v>0</v>
      </c>
      <c r="AP48" s="46">
        <v>0</v>
      </c>
      <c r="AQ48" s="47">
        <f t="shared" ref="AQ48" si="549">AR48*1680</f>
        <v>0</v>
      </c>
      <c r="AR48" s="48"/>
      <c r="AS48" s="45">
        <f t="shared" si="28"/>
        <v>0</v>
      </c>
      <c r="AT48" s="45">
        <f t="shared" si="29"/>
        <v>0</v>
      </c>
      <c r="AU48" s="45">
        <f t="shared" si="30"/>
        <v>0</v>
      </c>
      <c r="AV48" s="45">
        <f t="shared" si="31"/>
        <v>0</v>
      </c>
      <c r="AW48" s="46">
        <f t="shared" si="32"/>
        <v>0</v>
      </c>
      <c r="AX48" s="47">
        <f t="shared" si="548"/>
        <v>0</v>
      </c>
      <c r="AY48" s="48"/>
      <c r="AZ48" s="45">
        <f t="shared" si="34"/>
        <v>0</v>
      </c>
      <c r="BA48" s="45">
        <f t="shared" si="35"/>
        <v>0</v>
      </c>
      <c r="BB48" s="45">
        <f t="shared" si="36"/>
        <v>0</v>
      </c>
      <c r="BC48" s="45">
        <f t="shared" si="37"/>
        <v>0</v>
      </c>
      <c r="BD48" s="46">
        <f t="shared" si="38"/>
        <v>0</v>
      </c>
      <c r="BE48" s="47"/>
      <c r="BF48" s="48"/>
      <c r="BG48" s="45">
        <f t="shared" si="39"/>
        <v>0</v>
      </c>
      <c r="BH48" s="45">
        <f t="shared" si="40"/>
        <v>0</v>
      </c>
      <c r="BI48" s="45">
        <f t="shared" si="41"/>
        <v>0</v>
      </c>
      <c r="BJ48" s="45">
        <f t="shared" si="42"/>
        <v>0</v>
      </c>
      <c r="BK48" s="46">
        <f t="shared" si="43"/>
        <v>0</v>
      </c>
      <c r="BL48" s="47"/>
      <c r="BM48" s="48"/>
      <c r="BN48" s="45">
        <f t="shared" si="44"/>
        <v>0</v>
      </c>
      <c r="BO48" s="45">
        <f t="shared" si="45"/>
        <v>0</v>
      </c>
      <c r="BP48" s="45">
        <f t="shared" si="46"/>
        <v>0</v>
      </c>
      <c r="BQ48" s="45">
        <f t="shared" si="47"/>
        <v>0</v>
      </c>
      <c r="BR48" s="46">
        <f t="shared" si="48"/>
        <v>0</v>
      </c>
      <c r="BS48" s="47"/>
      <c r="BT48" s="48"/>
      <c r="BU48" s="45">
        <f t="shared" si="49"/>
        <v>0</v>
      </c>
      <c r="BV48" s="45">
        <f t="shared" si="50"/>
        <v>0</v>
      </c>
      <c r="BW48" s="45">
        <f t="shared" si="51"/>
        <v>0</v>
      </c>
      <c r="BX48" s="45">
        <f t="shared" si="52"/>
        <v>0</v>
      </c>
      <c r="BY48" s="46">
        <f t="shared" si="53"/>
        <v>0</v>
      </c>
      <c r="BZ48" s="47"/>
      <c r="CA48" s="48"/>
      <c r="CB48" s="45">
        <f t="shared" si="54"/>
        <v>0</v>
      </c>
      <c r="CC48" s="45">
        <f t="shared" si="55"/>
        <v>0</v>
      </c>
      <c r="CD48" s="45">
        <f t="shared" si="56"/>
        <v>0</v>
      </c>
      <c r="CE48" s="45">
        <f t="shared" si="57"/>
        <v>0</v>
      </c>
      <c r="CF48" s="46">
        <f t="shared" si="58"/>
        <v>0</v>
      </c>
      <c r="CG48" s="47"/>
      <c r="CH48" s="48"/>
      <c r="CI48" s="45">
        <f t="shared" si="59"/>
        <v>0</v>
      </c>
      <c r="CJ48" s="45">
        <f t="shared" si="60"/>
        <v>0</v>
      </c>
      <c r="CK48" s="45">
        <f t="shared" si="61"/>
        <v>0</v>
      </c>
      <c r="CL48" s="45">
        <f t="shared" si="62"/>
        <v>0</v>
      </c>
      <c r="CM48" s="46">
        <f t="shared" si="63"/>
        <v>0</v>
      </c>
      <c r="CN48" s="47"/>
      <c r="CO48" s="48"/>
      <c r="CP48" s="45">
        <f t="shared" si="64"/>
        <v>0</v>
      </c>
      <c r="CQ48" s="45">
        <f t="shared" si="65"/>
        <v>0</v>
      </c>
      <c r="CR48" s="45">
        <f t="shared" si="66"/>
        <v>0</v>
      </c>
      <c r="CS48" s="45">
        <f t="shared" si="67"/>
        <v>0</v>
      </c>
      <c r="CT48" s="46">
        <f t="shared" si="68"/>
        <v>0</v>
      </c>
    </row>
    <row r="49" spans="1:101" ht="24.75" customHeight="1">
      <c r="A49" s="83"/>
      <c r="B49" s="116"/>
      <c r="C49" s="84" t="s">
        <v>45</v>
      </c>
      <c r="D49" s="85">
        <v>0</v>
      </c>
      <c r="E49" s="86">
        <v>0</v>
      </c>
      <c r="F49" s="87">
        <v>0</v>
      </c>
      <c r="G49" s="88">
        <v>0</v>
      </c>
      <c r="H49" s="85">
        <f t="shared" ref="H49:M49" si="550">AJ49+AQ49+AX49+BE49+BL49+BS49+BZ49+CG49+CN49</f>
        <v>0</v>
      </c>
      <c r="I49" s="87">
        <f>AK49+AR49+AY49+BF49+BM49+BT49+CA49+CH49+CO49</f>
        <v>0</v>
      </c>
      <c r="J49" s="87">
        <f t="shared" si="550"/>
        <v>0</v>
      </c>
      <c r="K49" s="87">
        <f t="shared" si="550"/>
        <v>0</v>
      </c>
      <c r="L49" s="87">
        <f t="shared" si="550"/>
        <v>0</v>
      </c>
      <c r="M49" s="87">
        <f t="shared" si="550"/>
        <v>0</v>
      </c>
      <c r="N49" s="88">
        <f>U49+AB49+AI49+AP49+AW49+BD49+BK49+BR49+BY49+CF49+CM49+CT49</f>
        <v>-13208000</v>
      </c>
      <c r="O49" s="89"/>
      <c r="P49" s="90"/>
      <c r="Q49" s="87">
        <f t="shared" si="4"/>
        <v>0</v>
      </c>
      <c r="R49" s="87">
        <f t="shared" si="5"/>
        <v>0</v>
      </c>
      <c r="S49" s="87">
        <f t="shared" si="6"/>
        <v>0</v>
      </c>
      <c r="T49" s="87">
        <f t="shared" si="7"/>
        <v>0</v>
      </c>
      <c r="U49" s="88">
        <v>-2082000</v>
      </c>
      <c r="V49" s="89"/>
      <c r="W49" s="90"/>
      <c r="X49" s="87">
        <f t="shared" si="10"/>
        <v>0</v>
      </c>
      <c r="Y49" s="87">
        <f t="shared" si="11"/>
        <v>0</v>
      </c>
      <c r="Z49" s="87">
        <f t="shared" si="12"/>
        <v>0</v>
      </c>
      <c r="AA49" s="87">
        <f t="shared" si="13"/>
        <v>0</v>
      </c>
      <c r="AB49" s="91">
        <v>-2134000</v>
      </c>
      <c r="AC49" s="89"/>
      <c r="AD49" s="90"/>
      <c r="AE49" s="87">
        <f t="shared" si="16"/>
        <v>0</v>
      </c>
      <c r="AF49" s="87">
        <f t="shared" si="17"/>
        <v>0</v>
      </c>
      <c r="AG49" s="87">
        <f t="shared" si="18"/>
        <v>0</v>
      </c>
      <c r="AH49" s="87">
        <f t="shared" si="19"/>
        <v>0</v>
      </c>
      <c r="AI49" s="88">
        <v>-2135000</v>
      </c>
      <c r="AJ49" s="89"/>
      <c r="AK49" s="90"/>
      <c r="AL49" s="87">
        <f>AK49*$D49</f>
        <v>0</v>
      </c>
      <c r="AM49" s="87">
        <f t="shared" si="23"/>
        <v>0</v>
      </c>
      <c r="AN49" s="87">
        <f t="shared" si="24"/>
        <v>0</v>
      </c>
      <c r="AO49" s="87">
        <f>AK49*$G49</f>
        <v>0</v>
      </c>
      <c r="AP49" s="88">
        <v>-2667000</v>
      </c>
      <c r="AQ49" s="89"/>
      <c r="AR49" s="90"/>
      <c r="AS49" s="87">
        <f t="shared" si="28"/>
        <v>0</v>
      </c>
      <c r="AT49" s="87">
        <f t="shared" si="29"/>
        <v>0</v>
      </c>
      <c r="AU49" s="87">
        <f t="shared" si="30"/>
        <v>0</v>
      </c>
      <c r="AV49" s="87">
        <f t="shared" si="31"/>
        <v>0</v>
      </c>
      <c r="AW49" s="88">
        <v>-2451000</v>
      </c>
      <c r="AX49" s="89"/>
      <c r="AY49" s="90"/>
      <c r="AZ49" s="87">
        <f t="shared" si="34"/>
        <v>0</v>
      </c>
      <c r="BA49" s="87">
        <f t="shared" si="35"/>
        <v>0</v>
      </c>
      <c r="BB49" s="87">
        <f t="shared" si="36"/>
        <v>0</v>
      </c>
      <c r="BC49" s="87">
        <f t="shared" si="37"/>
        <v>0</v>
      </c>
      <c r="BD49" s="88">
        <v>-1739000</v>
      </c>
      <c r="BE49" s="89"/>
      <c r="BF49" s="90"/>
      <c r="BG49" s="87">
        <f t="shared" si="39"/>
        <v>0</v>
      </c>
      <c r="BH49" s="87">
        <f t="shared" si="40"/>
        <v>0</v>
      </c>
      <c r="BI49" s="87">
        <f t="shared" si="41"/>
        <v>0</v>
      </c>
      <c r="BJ49" s="87">
        <f t="shared" si="42"/>
        <v>0</v>
      </c>
      <c r="BK49" s="88">
        <f t="shared" si="43"/>
        <v>0</v>
      </c>
      <c r="BL49" s="89"/>
      <c r="BM49" s="90"/>
      <c r="BN49" s="87">
        <f t="shared" si="44"/>
        <v>0</v>
      </c>
      <c r="BO49" s="87">
        <f t="shared" si="45"/>
        <v>0</v>
      </c>
      <c r="BP49" s="87">
        <f t="shared" si="46"/>
        <v>0</v>
      </c>
      <c r="BQ49" s="87">
        <f t="shared" si="47"/>
        <v>0</v>
      </c>
      <c r="BR49" s="88">
        <f t="shared" si="48"/>
        <v>0</v>
      </c>
      <c r="BS49" s="89"/>
      <c r="BT49" s="90"/>
      <c r="BU49" s="87">
        <f t="shared" si="49"/>
        <v>0</v>
      </c>
      <c r="BV49" s="87">
        <f t="shared" si="50"/>
        <v>0</v>
      </c>
      <c r="BW49" s="87">
        <f t="shared" si="51"/>
        <v>0</v>
      </c>
      <c r="BX49" s="87">
        <f t="shared" si="52"/>
        <v>0</v>
      </c>
      <c r="BY49" s="88">
        <f t="shared" si="53"/>
        <v>0</v>
      </c>
      <c r="BZ49" s="89"/>
      <c r="CA49" s="90"/>
      <c r="CB49" s="87">
        <f t="shared" si="54"/>
        <v>0</v>
      </c>
      <c r="CC49" s="87">
        <f t="shared" si="55"/>
        <v>0</v>
      </c>
      <c r="CD49" s="87">
        <f t="shared" si="56"/>
        <v>0</v>
      </c>
      <c r="CE49" s="87">
        <f t="shared" si="57"/>
        <v>0</v>
      </c>
      <c r="CF49" s="88">
        <f t="shared" si="58"/>
        <v>0</v>
      </c>
      <c r="CG49" s="89"/>
      <c r="CH49" s="90"/>
      <c r="CI49" s="87">
        <f t="shared" si="59"/>
        <v>0</v>
      </c>
      <c r="CJ49" s="87">
        <f t="shared" si="60"/>
        <v>0</v>
      </c>
      <c r="CK49" s="87">
        <f t="shared" si="61"/>
        <v>0</v>
      </c>
      <c r="CL49" s="87">
        <f t="shared" si="62"/>
        <v>0</v>
      </c>
      <c r="CM49" s="88">
        <f t="shared" si="63"/>
        <v>0</v>
      </c>
      <c r="CN49" s="89"/>
      <c r="CO49" s="90"/>
      <c r="CP49" s="87">
        <f t="shared" si="64"/>
        <v>0</v>
      </c>
      <c r="CQ49" s="87">
        <f t="shared" si="65"/>
        <v>0</v>
      </c>
      <c r="CR49" s="87">
        <f t="shared" si="66"/>
        <v>0</v>
      </c>
      <c r="CS49" s="87">
        <f t="shared" si="67"/>
        <v>0</v>
      </c>
      <c r="CT49" s="88"/>
    </row>
    <row r="50" spans="1:101" ht="24.75" customHeight="1">
      <c r="A50" s="83" t="s">
        <v>149</v>
      </c>
      <c r="B50" s="115" t="s">
        <v>108</v>
      </c>
      <c r="C50" s="32" t="s">
        <v>109</v>
      </c>
      <c r="D50" s="33">
        <f t="shared" si="444"/>
        <v>2800</v>
      </c>
      <c r="E50" s="34">
        <v>11</v>
      </c>
      <c r="F50" s="35">
        <v>5</v>
      </c>
      <c r="G50" s="36">
        <v>15000</v>
      </c>
      <c r="H50" s="33">
        <f t="shared" ref="H50:H57" si="551">O50+V50+AC50+AJ50+AQ50+AX50+BE50+BL50+BS50+BZ50+CG50+CN50</f>
        <v>15360</v>
      </c>
      <c r="I50" s="35">
        <f t="shared" ref="I50:I57" si="552">P50+W50+AD50+AK50+AR50+AY50+BF50+BM50+BT50+CA50+CH50+CO50</f>
        <v>8</v>
      </c>
      <c r="J50" s="35">
        <f t="shared" ref="J50:J57" si="553">Q50+X50+AE50+AL50+AS50+AZ50+BG50+BN50+BU50+CB50+CI50+CP50</f>
        <v>22400</v>
      </c>
      <c r="K50" s="35">
        <f t="shared" ref="K50:K57" si="554">R50+Y50+AF50+AM50+AT50+BA50+BH50+BO50+BV50+CC50+CJ50+CQ50</f>
        <v>168960</v>
      </c>
      <c r="L50" s="35">
        <f t="shared" ref="L50:L57" si="555">S50+Z50+AG50+AN50+AU50+BB50+BI50+BP50+BW50+CD50+CK50+CR50</f>
        <v>76800</v>
      </c>
      <c r="M50" s="35">
        <f t="shared" ref="M50:M57" si="556">T50+AA50+AH50+AO50+AV50+BC50+BJ50+BQ50+BX50+CE50+CL50+CS50</f>
        <v>120000</v>
      </c>
      <c r="N50" s="36">
        <f t="shared" ref="N50:N57" si="557">U50+AB50+AI50+AP50+AW50+BD50+BK50+BR50+BY50+CF50+CM50+CT50</f>
        <v>388160</v>
      </c>
      <c r="O50" s="37"/>
      <c r="P50" s="38"/>
      <c r="Q50" s="35">
        <f t="shared" ref="Q50:Q57" si="558">P50*$D50</f>
        <v>0</v>
      </c>
      <c r="R50" s="35">
        <f t="shared" ref="R50:R57" si="559">O50*$E50</f>
        <v>0</v>
      </c>
      <c r="S50" s="35">
        <f t="shared" ref="S50:S57" si="560">O50*$F50</f>
        <v>0</v>
      </c>
      <c r="T50" s="35">
        <f t="shared" ref="T50:T57" si="561">P50*$G50</f>
        <v>0</v>
      </c>
      <c r="U50" s="36">
        <f t="shared" ref="U50:U57" si="562">SUM(Q50:T50)</f>
        <v>0</v>
      </c>
      <c r="V50" s="37"/>
      <c r="W50" s="38"/>
      <c r="X50" s="35">
        <f t="shared" ref="X50:X57" si="563">W50*$D50</f>
        <v>0</v>
      </c>
      <c r="Y50" s="35">
        <f t="shared" ref="Y50:Y57" si="564">V50*$E50</f>
        <v>0</v>
      </c>
      <c r="Z50" s="35">
        <f t="shared" ref="Z50:Z57" si="565">V50*$F50</f>
        <v>0</v>
      </c>
      <c r="AA50" s="35">
        <f t="shared" ref="AA50:AA57" si="566">W50*$G50</f>
        <v>0</v>
      </c>
      <c r="AB50" s="36">
        <f t="shared" ref="AB50:AB57" si="567">SUM(X50:AA50)</f>
        <v>0</v>
      </c>
      <c r="AC50" s="37"/>
      <c r="AD50" s="38"/>
      <c r="AE50" s="35">
        <f t="shared" ref="AE50:AE57" si="568">AD50*$D50</f>
        <v>0</v>
      </c>
      <c r="AF50" s="35">
        <f t="shared" ref="AF50:AF57" si="569">AC50*$E50</f>
        <v>0</v>
      </c>
      <c r="AG50" s="35">
        <f t="shared" ref="AG50:AG57" si="570">AC50*$F50</f>
        <v>0</v>
      </c>
      <c r="AH50" s="35">
        <f t="shared" ref="AH50:AH57" si="571">AD50*$G50</f>
        <v>0</v>
      </c>
      <c r="AI50" s="36">
        <f t="shared" ref="AI50:AI57" si="572">SUM(AE50:AH50)</f>
        <v>0</v>
      </c>
      <c r="AJ50" s="37"/>
      <c r="AK50" s="38"/>
      <c r="AL50" s="35">
        <f t="shared" ref="AL50:AL55" si="573">AK50*$D50</f>
        <v>0</v>
      </c>
      <c r="AM50" s="35">
        <f t="shared" ref="AM50:AM55" si="574">AJ50*$E50</f>
        <v>0</v>
      </c>
      <c r="AN50" s="35">
        <f t="shared" ref="AN50:AN55" si="575">AJ50*$F50</f>
        <v>0</v>
      </c>
      <c r="AO50" s="35">
        <f t="shared" ref="AO50:AO55" si="576">AK50*$G50</f>
        <v>0</v>
      </c>
      <c r="AP50" s="36">
        <f t="shared" ref="AP50:AP55" si="577">SUM(AL50:AO50)</f>
        <v>0</v>
      </c>
      <c r="AQ50" s="37"/>
      <c r="AR50" s="38"/>
      <c r="AS50" s="35">
        <f t="shared" ref="AS50:AS57" si="578">AR50*$D50</f>
        <v>0</v>
      </c>
      <c r="AT50" s="35">
        <f t="shared" ref="AT50:AT55" si="579">AQ50*$E50</f>
        <v>0</v>
      </c>
      <c r="AU50" s="35">
        <f t="shared" ref="AU50:AU55" si="580">AQ50*$F50</f>
        <v>0</v>
      </c>
      <c r="AV50" s="35">
        <f t="shared" ref="AV50:AV57" si="581">AR50*$G50</f>
        <v>0</v>
      </c>
      <c r="AW50" s="36">
        <f t="shared" ref="AW50:AW55" si="582">SUM(AS50:AV50)</f>
        <v>0</v>
      </c>
      <c r="AX50" s="37">
        <f>AY50*1920</f>
        <v>15360</v>
      </c>
      <c r="AY50" s="38">
        <v>8</v>
      </c>
      <c r="AZ50" s="35">
        <f t="shared" ref="AZ50:AZ55" si="583">AY50*$D50</f>
        <v>22400</v>
      </c>
      <c r="BA50" s="35">
        <f t="shared" ref="BA50:BA55" si="584">AX50*$E50</f>
        <v>168960</v>
      </c>
      <c r="BB50" s="35">
        <f t="shared" ref="BB50:BB55" si="585">AX50*$F50</f>
        <v>76800</v>
      </c>
      <c r="BC50" s="35">
        <f t="shared" ref="BC50:BC55" si="586">AY50*$G50</f>
        <v>120000</v>
      </c>
      <c r="BD50" s="36">
        <f t="shared" ref="BD50:BD55" si="587">SUM(AZ50:BC50)</f>
        <v>388160</v>
      </c>
      <c r="BE50" s="37"/>
      <c r="BF50" s="38"/>
      <c r="BG50" s="35">
        <f t="shared" ref="BG50:BG55" si="588">BF50*$D50</f>
        <v>0</v>
      </c>
      <c r="BH50" s="35">
        <f t="shared" ref="BH50:BH55" si="589">BE50*$E50</f>
        <v>0</v>
      </c>
      <c r="BI50" s="35">
        <f t="shared" ref="BI50:BI55" si="590">BE50*$F50</f>
        <v>0</v>
      </c>
      <c r="BJ50" s="35">
        <f t="shared" ref="BJ50:BJ55" si="591">BF50*$G50</f>
        <v>0</v>
      </c>
      <c r="BK50" s="36">
        <f t="shared" ref="BK50:BK55" si="592">SUM(BG50:BJ50)</f>
        <v>0</v>
      </c>
      <c r="BL50" s="37"/>
      <c r="BM50" s="38"/>
      <c r="BN50" s="35">
        <f t="shared" ref="BN50:BN55" si="593">BM50*$D50</f>
        <v>0</v>
      </c>
      <c r="BO50" s="35">
        <f t="shared" ref="BO50:BO55" si="594">BL50*$E50</f>
        <v>0</v>
      </c>
      <c r="BP50" s="35">
        <f t="shared" ref="BP50:BP55" si="595">BL50*$F50</f>
        <v>0</v>
      </c>
      <c r="BQ50" s="35">
        <f t="shared" ref="BQ50:BQ55" si="596">BM50*$G50</f>
        <v>0</v>
      </c>
      <c r="BR50" s="36">
        <f t="shared" ref="BR50:BR55" si="597">SUM(BN50:BQ50)</f>
        <v>0</v>
      </c>
      <c r="BS50" s="37"/>
      <c r="BT50" s="38"/>
      <c r="BU50" s="35">
        <f t="shared" ref="BU50:BU55" si="598">BT50*$D50</f>
        <v>0</v>
      </c>
      <c r="BV50" s="35">
        <f t="shared" ref="BV50:BV55" si="599">BS50*$E50</f>
        <v>0</v>
      </c>
      <c r="BW50" s="35">
        <f t="shared" ref="BW50:BW55" si="600">BS50*$F50</f>
        <v>0</v>
      </c>
      <c r="BX50" s="35">
        <f t="shared" ref="BX50:BX55" si="601">BT50*$G50</f>
        <v>0</v>
      </c>
      <c r="BY50" s="36">
        <f t="shared" ref="BY50:BY55" si="602">SUM(BU50:BX50)</f>
        <v>0</v>
      </c>
      <c r="BZ50" s="37"/>
      <c r="CA50" s="38"/>
      <c r="CB50" s="35">
        <f t="shared" ref="CB50:CB55" si="603">CA50*$D50</f>
        <v>0</v>
      </c>
      <c r="CC50" s="35">
        <f t="shared" ref="CC50:CC55" si="604">BZ50*$E50</f>
        <v>0</v>
      </c>
      <c r="CD50" s="35">
        <f t="shared" ref="CD50:CD55" si="605">BZ50*$F50</f>
        <v>0</v>
      </c>
      <c r="CE50" s="35">
        <f t="shared" ref="CE50:CE55" si="606">CA50*$G50</f>
        <v>0</v>
      </c>
      <c r="CF50" s="36">
        <f t="shared" ref="CF50:CF55" si="607">SUM(CB50:CE50)</f>
        <v>0</v>
      </c>
      <c r="CG50" s="37"/>
      <c r="CH50" s="38"/>
      <c r="CI50" s="35">
        <f t="shared" ref="CI50:CI55" si="608">CH50*$D50</f>
        <v>0</v>
      </c>
      <c r="CJ50" s="35">
        <f t="shared" ref="CJ50:CJ55" si="609">CG50*$E50</f>
        <v>0</v>
      </c>
      <c r="CK50" s="35">
        <f t="shared" ref="CK50:CK55" si="610">CG50*$F50</f>
        <v>0</v>
      </c>
      <c r="CL50" s="35">
        <f t="shared" ref="CL50:CL55" si="611">CH50*$G50</f>
        <v>0</v>
      </c>
      <c r="CM50" s="36">
        <f t="shared" ref="CM50:CM55" si="612">SUM(CI50:CL50)</f>
        <v>0</v>
      </c>
      <c r="CN50" s="37"/>
      <c r="CO50" s="38"/>
      <c r="CP50" s="35">
        <f t="shared" ref="CP50:CP55" si="613">CO50*$D50</f>
        <v>0</v>
      </c>
      <c r="CQ50" s="35">
        <f t="shared" ref="CQ50:CQ55" si="614">CN50*$E50</f>
        <v>0</v>
      </c>
      <c r="CR50" s="35">
        <f t="shared" ref="CR50:CR55" si="615">CN50*$F50</f>
        <v>0</v>
      </c>
      <c r="CS50" s="35">
        <f t="shared" ref="CS50:CS55" si="616">CO50*$G50</f>
        <v>0</v>
      </c>
      <c r="CT50" s="36">
        <f t="shared" ref="CT50:CT55" si="617">SUM(CP50:CS50)</f>
        <v>0</v>
      </c>
    </row>
    <row r="51" spans="1:101" ht="24.75" customHeight="1">
      <c r="A51" s="83" t="s">
        <v>150</v>
      </c>
      <c r="B51" s="114"/>
      <c r="C51" s="18" t="s">
        <v>110</v>
      </c>
      <c r="D51" s="19">
        <f t="shared" si="444"/>
        <v>2800</v>
      </c>
      <c r="E51" s="20">
        <v>11</v>
      </c>
      <c r="F51" s="21">
        <v>5</v>
      </c>
      <c r="G51" s="22">
        <v>15000</v>
      </c>
      <c r="H51" s="19">
        <f t="shared" si="551"/>
        <v>9600</v>
      </c>
      <c r="I51" s="21">
        <f t="shared" si="552"/>
        <v>5</v>
      </c>
      <c r="J51" s="21">
        <f t="shared" si="553"/>
        <v>14000</v>
      </c>
      <c r="K51" s="21">
        <f t="shared" si="554"/>
        <v>105600</v>
      </c>
      <c r="L51" s="21">
        <f t="shared" si="555"/>
        <v>48000</v>
      </c>
      <c r="M51" s="21">
        <f t="shared" si="556"/>
        <v>75000</v>
      </c>
      <c r="N51" s="22">
        <f t="shared" si="557"/>
        <v>242600</v>
      </c>
      <c r="O51" s="23"/>
      <c r="P51" s="24"/>
      <c r="Q51" s="21">
        <f t="shared" si="558"/>
        <v>0</v>
      </c>
      <c r="R51" s="21">
        <f t="shared" si="559"/>
        <v>0</v>
      </c>
      <c r="S51" s="21">
        <f t="shared" si="560"/>
        <v>0</v>
      </c>
      <c r="T51" s="21">
        <f t="shared" si="561"/>
        <v>0</v>
      </c>
      <c r="U51" s="22">
        <f t="shared" si="562"/>
        <v>0</v>
      </c>
      <c r="V51" s="23"/>
      <c r="W51" s="24"/>
      <c r="X51" s="21">
        <f t="shared" si="563"/>
        <v>0</v>
      </c>
      <c r="Y51" s="21">
        <f t="shared" si="564"/>
        <v>0</v>
      </c>
      <c r="Z51" s="21">
        <f t="shared" si="565"/>
        <v>0</v>
      </c>
      <c r="AA51" s="21">
        <f t="shared" si="566"/>
        <v>0</v>
      </c>
      <c r="AB51" s="22">
        <f t="shared" si="567"/>
        <v>0</v>
      </c>
      <c r="AC51" s="23"/>
      <c r="AD51" s="24"/>
      <c r="AE51" s="21">
        <f t="shared" si="568"/>
        <v>0</v>
      </c>
      <c r="AF51" s="21">
        <f t="shared" si="569"/>
        <v>0</v>
      </c>
      <c r="AG51" s="21">
        <f t="shared" si="570"/>
        <v>0</v>
      </c>
      <c r="AH51" s="21">
        <f t="shared" si="571"/>
        <v>0</v>
      </c>
      <c r="AI51" s="22">
        <f t="shared" si="572"/>
        <v>0</v>
      </c>
      <c r="AJ51" s="23"/>
      <c r="AK51" s="24"/>
      <c r="AL51" s="21">
        <f t="shared" si="573"/>
        <v>0</v>
      </c>
      <c r="AM51" s="21">
        <f t="shared" si="574"/>
        <v>0</v>
      </c>
      <c r="AN51" s="21">
        <f t="shared" si="575"/>
        <v>0</v>
      </c>
      <c r="AO51" s="21">
        <f t="shared" si="576"/>
        <v>0</v>
      </c>
      <c r="AP51" s="22">
        <f t="shared" si="577"/>
        <v>0</v>
      </c>
      <c r="AQ51" s="23"/>
      <c r="AR51" s="24"/>
      <c r="AS51" s="21">
        <f t="shared" si="578"/>
        <v>0</v>
      </c>
      <c r="AT51" s="21">
        <f t="shared" si="579"/>
        <v>0</v>
      </c>
      <c r="AU51" s="21">
        <f t="shared" si="580"/>
        <v>0</v>
      </c>
      <c r="AV51" s="21">
        <f t="shared" si="581"/>
        <v>0</v>
      </c>
      <c r="AW51" s="22">
        <f t="shared" si="582"/>
        <v>0</v>
      </c>
      <c r="AX51" s="37">
        <f t="shared" ref="AX51:AX57" si="618">AY51*1920</f>
        <v>9600</v>
      </c>
      <c r="AY51" s="24">
        <v>5</v>
      </c>
      <c r="AZ51" s="21">
        <f t="shared" si="583"/>
        <v>14000</v>
      </c>
      <c r="BA51" s="21">
        <f t="shared" si="584"/>
        <v>105600</v>
      </c>
      <c r="BB51" s="21">
        <f t="shared" si="585"/>
        <v>48000</v>
      </c>
      <c r="BC51" s="21">
        <f t="shared" si="586"/>
        <v>75000</v>
      </c>
      <c r="BD51" s="22">
        <f t="shared" si="587"/>
        <v>242600</v>
      </c>
      <c r="BE51" s="23"/>
      <c r="BF51" s="24"/>
      <c r="BG51" s="21">
        <f t="shared" si="588"/>
        <v>0</v>
      </c>
      <c r="BH51" s="21">
        <f t="shared" si="589"/>
        <v>0</v>
      </c>
      <c r="BI51" s="21">
        <f t="shared" si="590"/>
        <v>0</v>
      </c>
      <c r="BJ51" s="21">
        <f t="shared" si="591"/>
        <v>0</v>
      </c>
      <c r="BK51" s="22">
        <f t="shared" si="592"/>
        <v>0</v>
      </c>
      <c r="BL51" s="23"/>
      <c r="BM51" s="24"/>
      <c r="BN51" s="21">
        <f t="shared" si="593"/>
        <v>0</v>
      </c>
      <c r="BO51" s="21">
        <f t="shared" si="594"/>
        <v>0</v>
      </c>
      <c r="BP51" s="21">
        <f t="shared" si="595"/>
        <v>0</v>
      </c>
      <c r="BQ51" s="21">
        <f t="shared" si="596"/>
        <v>0</v>
      </c>
      <c r="BR51" s="22">
        <f t="shared" si="597"/>
        <v>0</v>
      </c>
      <c r="BS51" s="23"/>
      <c r="BT51" s="24"/>
      <c r="BU51" s="21">
        <f t="shared" si="598"/>
        <v>0</v>
      </c>
      <c r="BV51" s="21">
        <f t="shared" si="599"/>
        <v>0</v>
      </c>
      <c r="BW51" s="21">
        <f t="shared" si="600"/>
        <v>0</v>
      </c>
      <c r="BX51" s="21">
        <f t="shared" si="601"/>
        <v>0</v>
      </c>
      <c r="BY51" s="22">
        <f t="shared" si="602"/>
        <v>0</v>
      </c>
      <c r="BZ51" s="23"/>
      <c r="CA51" s="24"/>
      <c r="CB51" s="21">
        <f t="shared" si="603"/>
        <v>0</v>
      </c>
      <c r="CC51" s="21">
        <f t="shared" si="604"/>
        <v>0</v>
      </c>
      <c r="CD51" s="21">
        <f t="shared" si="605"/>
        <v>0</v>
      </c>
      <c r="CE51" s="21">
        <f t="shared" si="606"/>
        <v>0</v>
      </c>
      <c r="CF51" s="22">
        <f t="shared" si="607"/>
        <v>0</v>
      </c>
      <c r="CG51" s="23"/>
      <c r="CH51" s="24"/>
      <c r="CI51" s="21">
        <f t="shared" si="608"/>
        <v>0</v>
      </c>
      <c r="CJ51" s="21">
        <f t="shared" si="609"/>
        <v>0</v>
      </c>
      <c r="CK51" s="21">
        <f t="shared" si="610"/>
        <v>0</v>
      </c>
      <c r="CL51" s="21">
        <f t="shared" si="611"/>
        <v>0</v>
      </c>
      <c r="CM51" s="22">
        <f t="shared" si="612"/>
        <v>0</v>
      </c>
      <c r="CN51" s="23"/>
      <c r="CO51" s="24"/>
      <c r="CP51" s="21">
        <f t="shared" si="613"/>
        <v>0</v>
      </c>
      <c r="CQ51" s="21">
        <f t="shared" si="614"/>
        <v>0</v>
      </c>
      <c r="CR51" s="21">
        <f t="shared" si="615"/>
        <v>0</v>
      </c>
      <c r="CS51" s="21">
        <f t="shared" si="616"/>
        <v>0</v>
      </c>
      <c r="CT51" s="22">
        <f t="shared" si="617"/>
        <v>0</v>
      </c>
    </row>
    <row r="52" spans="1:101" ht="24.75" customHeight="1">
      <c r="A52" s="83" t="s">
        <v>151</v>
      </c>
      <c r="B52" s="114"/>
      <c r="C52" s="18" t="s">
        <v>111</v>
      </c>
      <c r="D52" s="19">
        <f t="shared" si="444"/>
        <v>2800</v>
      </c>
      <c r="E52" s="20">
        <v>11</v>
      </c>
      <c r="F52" s="21">
        <v>5</v>
      </c>
      <c r="G52" s="22">
        <v>15000</v>
      </c>
      <c r="H52" s="19">
        <f t="shared" si="551"/>
        <v>0</v>
      </c>
      <c r="I52" s="21">
        <f t="shared" si="552"/>
        <v>0</v>
      </c>
      <c r="J52" s="21">
        <f t="shared" si="553"/>
        <v>0</v>
      </c>
      <c r="K52" s="21">
        <f t="shared" si="554"/>
        <v>0</v>
      </c>
      <c r="L52" s="21">
        <f t="shared" si="555"/>
        <v>0</v>
      </c>
      <c r="M52" s="21">
        <f t="shared" si="556"/>
        <v>0</v>
      </c>
      <c r="N52" s="22">
        <f t="shared" si="557"/>
        <v>0</v>
      </c>
      <c r="O52" s="23"/>
      <c r="P52" s="24"/>
      <c r="Q52" s="21">
        <f t="shared" si="558"/>
        <v>0</v>
      </c>
      <c r="R52" s="21">
        <f t="shared" si="559"/>
        <v>0</v>
      </c>
      <c r="S52" s="21">
        <f t="shared" si="560"/>
        <v>0</v>
      </c>
      <c r="T52" s="21">
        <f t="shared" si="561"/>
        <v>0</v>
      </c>
      <c r="U52" s="22">
        <f t="shared" si="562"/>
        <v>0</v>
      </c>
      <c r="V52" s="23"/>
      <c r="W52" s="24"/>
      <c r="X52" s="21">
        <f t="shared" si="563"/>
        <v>0</v>
      </c>
      <c r="Y52" s="21">
        <f t="shared" si="564"/>
        <v>0</v>
      </c>
      <c r="Z52" s="21">
        <f t="shared" si="565"/>
        <v>0</v>
      </c>
      <c r="AA52" s="21">
        <f t="shared" si="566"/>
        <v>0</v>
      </c>
      <c r="AB52" s="22">
        <f t="shared" si="567"/>
        <v>0</v>
      </c>
      <c r="AC52" s="23"/>
      <c r="AD52" s="24"/>
      <c r="AE52" s="21">
        <f t="shared" si="568"/>
        <v>0</v>
      </c>
      <c r="AF52" s="21">
        <f t="shared" si="569"/>
        <v>0</v>
      </c>
      <c r="AG52" s="21">
        <f t="shared" si="570"/>
        <v>0</v>
      </c>
      <c r="AH52" s="21">
        <f t="shared" si="571"/>
        <v>0</v>
      </c>
      <c r="AI52" s="22">
        <f t="shared" si="572"/>
        <v>0</v>
      </c>
      <c r="AJ52" s="23"/>
      <c r="AK52" s="24"/>
      <c r="AL52" s="21">
        <f t="shared" si="573"/>
        <v>0</v>
      </c>
      <c r="AM52" s="21">
        <f t="shared" si="574"/>
        <v>0</v>
      </c>
      <c r="AN52" s="21">
        <f t="shared" si="575"/>
        <v>0</v>
      </c>
      <c r="AO52" s="21">
        <f t="shared" si="576"/>
        <v>0</v>
      </c>
      <c r="AP52" s="22">
        <f t="shared" si="577"/>
        <v>0</v>
      </c>
      <c r="AQ52" s="23"/>
      <c r="AR52" s="24"/>
      <c r="AS52" s="21">
        <f t="shared" si="578"/>
        <v>0</v>
      </c>
      <c r="AT52" s="21">
        <f t="shared" si="579"/>
        <v>0</v>
      </c>
      <c r="AU52" s="21">
        <f t="shared" si="580"/>
        <v>0</v>
      </c>
      <c r="AV52" s="21">
        <f t="shared" si="581"/>
        <v>0</v>
      </c>
      <c r="AW52" s="22">
        <f t="shared" si="582"/>
        <v>0</v>
      </c>
      <c r="AX52" s="37">
        <f t="shared" si="618"/>
        <v>0</v>
      </c>
      <c r="AY52" s="24"/>
      <c r="AZ52" s="21">
        <f t="shared" si="583"/>
        <v>0</v>
      </c>
      <c r="BA52" s="21">
        <f t="shared" si="584"/>
        <v>0</v>
      </c>
      <c r="BB52" s="21">
        <f t="shared" si="585"/>
        <v>0</v>
      </c>
      <c r="BC52" s="21">
        <f t="shared" si="586"/>
        <v>0</v>
      </c>
      <c r="BD52" s="22">
        <f t="shared" si="587"/>
        <v>0</v>
      </c>
      <c r="BE52" s="23"/>
      <c r="BF52" s="24"/>
      <c r="BG52" s="21">
        <f t="shared" si="588"/>
        <v>0</v>
      </c>
      <c r="BH52" s="21">
        <f t="shared" si="589"/>
        <v>0</v>
      </c>
      <c r="BI52" s="21">
        <f t="shared" si="590"/>
        <v>0</v>
      </c>
      <c r="BJ52" s="21">
        <f t="shared" si="591"/>
        <v>0</v>
      </c>
      <c r="BK52" s="22">
        <f t="shared" si="592"/>
        <v>0</v>
      </c>
      <c r="BL52" s="23"/>
      <c r="BM52" s="24"/>
      <c r="BN52" s="21">
        <f t="shared" si="593"/>
        <v>0</v>
      </c>
      <c r="BO52" s="21">
        <f t="shared" si="594"/>
        <v>0</v>
      </c>
      <c r="BP52" s="21">
        <f t="shared" si="595"/>
        <v>0</v>
      </c>
      <c r="BQ52" s="21">
        <f t="shared" si="596"/>
        <v>0</v>
      </c>
      <c r="BR52" s="22">
        <f t="shared" si="597"/>
        <v>0</v>
      </c>
      <c r="BS52" s="23"/>
      <c r="BT52" s="24"/>
      <c r="BU52" s="21">
        <f t="shared" si="598"/>
        <v>0</v>
      </c>
      <c r="BV52" s="21">
        <f t="shared" si="599"/>
        <v>0</v>
      </c>
      <c r="BW52" s="21">
        <f t="shared" si="600"/>
        <v>0</v>
      </c>
      <c r="BX52" s="21">
        <f t="shared" si="601"/>
        <v>0</v>
      </c>
      <c r="BY52" s="22">
        <f t="shared" si="602"/>
        <v>0</v>
      </c>
      <c r="BZ52" s="23"/>
      <c r="CA52" s="24"/>
      <c r="CB52" s="21">
        <f t="shared" si="603"/>
        <v>0</v>
      </c>
      <c r="CC52" s="21">
        <f t="shared" si="604"/>
        <v>0</v>
      </c>
      <c r="CD52" s="21">
        <f t="shared" si="605"/>
        <v>0</v>
      </c>
      <c r="CE52" s="21">
        <f t="shared" si="606"/>
        <v>0</v>
      </c>
      <c r="CF52" s="22">
        <f t="shared" si="607"/>
        <v>0</v>
      </c>
      <c r="CG52" s="23"/>
      <c r="CH52" s="24"/>
      <c r="CI52" s="21">
        <f t="shared" si="608"/>
        <v>0</v>
      </c>
      <c r="CJ52" s="21">
        <f t="shared" si="609"/>
        <v>0</v>
      </c>
      <c r="CK52" s="21">
        <f t="shared" si="610"/>
        <v>0</v>
      </c>
      <c r="CL52" s="21">
        <f t="shared" si="611"/>
        <v>0</v>
      </c>
      <c r="CM52" s="22">
        <f t="shared" si="612"/>
        <v>0</v>
      </c>
      <c r="CN52" s="23"/>
      <c r="CO52" s="24"/>
      <c r="CP52" s="21">
        <f t="shared" si="613"/>
        <v>0</v>
      </c>
      <c r="CQ52" s="21">
        <f t="shared" si="614"/>
        <v>0</v>
      </c>
      <c r="CR52" s="21">
        <f t="shared" si="615"/>
        <v>0</v>
      </c>
      <c r="CS52" s="21">
        <f t="shared" si="616"/>
        <v>0</v>
      </c>
      <c r="CT52" s="22">
        <f t="shared" si="617"/>
        <v>0</v>
      </c>
    </row>
    <row r="53" spans="1:101" ht="24.75" customHeight="1">
      <c r="A53" s="83" t="s">
        <v>152</v>
      </c>
      <c r="B53" s="114"/>
      <c r="C53" s="18" t="s">
        <v>112</v>
      </c>
      <c r="D53" s="19">
        <f t="shared" si="444"/>
        <v>2800</v>
      </c>
      <c r="E53" s="20">
        <v>11</v>
      </c>
      <c r="F53" s="21">
        <v>5</v>
      </c>
      <c r="G53" s="22">
        <v>15000</v>
      </c>
      <c r="H53" s="19">
        <f t="shared" si="551"/>
        <v>3840</v>
      </c>
      <c r="I53" s="21">
        <f t="shared" si="552"/>
        <v>2</v>
      </c>
      <c r="J53" s="21">
        <f t="shared" si="553"/>
        <v>5600</v>
      </c>
      <c r="K53" s="21">
        <f t="shared" si="554"/>
        <v>42240</v>
      </c>
      <c r="L53" s="21">
        <f t="shared" si="555"/>
        <v>19200</v>
      </c>
      <c r="M53" s="21">
        <f t="shared" si="556"/>
        <v>30000</v>
      </c>
      <c r="N53" s="22">
        <f t="shared" si="557"/>
        <v>97040</v>
      </c>
      <c r="O53" s="23"/>
      <c r="P53" s="24"/>
      <c r="Q53" s="21">
        <f t="shared" si="558"/>
        <v>0</v>
      </c>
      <c r="R53" s="21">
        <f t="shared" si="559"/>
        <v>0</v>
      </c>
      <c r="S53" s="21">
        <f t="shared" si="560"/>
        <v>0</v>
      </c>
      <c r="T53" s="21">
        <f t="shared" si="561"/>
        <v>0</v>
      </c>
      <c r="U53" s="22">
        <f t="shared" si="562"/>
        <v>0</v>
      </c>
      <c r="V53" s="23"/>
      <c r="W53" s="24"/>
      <c r="X53" s="21">
        <f t="shared" si="563"/>
        <v>0</v>
      </c>
      <c r="Y53" s="21">
        <f t="shared" si="564"/>
        <v>0</v>
      </c>
      <c r="Z53" s="21">
        <f t="shared" si="565"/>
        <v>0</v>
      </c>
      <c r="AA53" s="21">
        <f t="shared" si="566"/>
        <v>0</v>
      </c>
      <c r="AB53" s="22">
        <f t="shared" si="567"/>
        <v>0</v>
      </c>
      <c r="AC53" s="23"/>
      <c r="AD53" s="24"/>
      <c r="AE53" s="21">
        <f t="shared" si="568"/>
        <v>0</v>
      </c>
      <c r="AF53" s="21">
        <f t="shared" si="569"/>
        <v>0</v>
      </c>
      <c r="AG53" s="21">
        <f t="shared" si="570"/>
        <v>0</v>
      </c>
      <c r="AH53" s="21">
        <f t="shared" si="571"/>
        <v>0</v>
      </c>
      <c r="AI53" s="22">
        <f t="shared" si="572"/>
        <v>0</v>
      </c>
      <c r="AJ53" s="23"/>
      <c r="AK53" s="24"/>
      <c r="AL53" s="21">
        <f t="shared" si="573"/>
        <v>0</v>
      </c>
      <c r="AM53" s="21">
        <f t="shared" si="574"/>
        <v>0</v>
      </c>
      <c r="AN53" s="21">
        <f t="shared" si="575"/>
        <v>0</v>
      </c>
      <c r="AO53" s="21">
        <f t="shared" si="576"/>
        <v>0</v>
      </c>
      <c r="AP53" s="22">
        <f t="shared" si="577"/>
        <v>0</v>
      </c>
      <c r="AQ53" s="23"/>
      <c r="AR53" s="24"/>
      <c r="AS53" s="21">
        <f t="shared" si="578"/>
        <v>0</v>
      </c>
      <c r="AT53" s="21">
        <f t="shared" si="579"/>
        <v>0</v>
      </c>
      <c r="AU53" s="21">
        <f t="shared" si="580"/>
        <v>0</v>
      </c>
      <c r="AV53" s="21">
        <f t="shared" si="581"/>
        <v>0</v>
      </c>
      <c r="AW53" s="22">
        <f t="shared" si="582"/>
        <v>0</v>
      </c>
      <c r="AX53" s="37">
        <f t="shared" si="618"/>
        <v>3840</v>
      </c>
      <c r="AY53" s="24">
        <v>2</v>
      </c>
      <c r="AZ53" s="21">
        <f t="shared" si="583"/>
        <v>5600</v>
      </c>
      <c r="BA53" s="21">
        <f t="shared" si="584"/>
        <v>42240</v>
      </c>
      <c r="BB53" s="21">
        <f t="shared" si="585"/>
        <v>19200</v>
      </c>
      <c r="BC53" s="21">
        <f t="shared" si="586"/>
        <v>30000</v>
      </c>
      <c r="BD53" s="22">
        <f t="shared" si="587"/>
        <v>97040</v>
      </c>
      <c r="BE53" s="23"/>
      <c r="BF53" s="24"/>
      <c r="BG53" s="21">
        <f t="shared" si="588"/>
        <v>0</v>
      </c>
      <c r="BH53" s="21">
        <f t="shared" si="589"/>
        <v>0</v>
      </c>
      <c r="BI53" s="21">
        <f t="shared" si="590"/>
        <v>0</v>
      </c>
      <c r="BJ53" s="21">
        <f t="shared" si="591"/>
        <v>0</v>
      </c>
      <c r="BK53" s="22">
        <f t="shared" si="592"/>
        <v>0</v>
      </c>
      <c r="BL53" s="23"/>
      <c r="BM53" s="24"/>
      <c r="BN53" s="21">
        <f t="shared" si="593"/>
        <v>0</v>
      </c>
      <c r="BO53" s="21">
        <f t="shared" si="594"/>
        <v>0</v>
      </c>
      <c r="BP53" s="21">
        <f t="shared" si="595"/>
        <v>0</v>
      </c>
      <c r="BQ53" s="21">
        <f t="shared" si="596"/>
        <v>0</v>
      </c>
      <c r="BR53" s="22">
        <f t="shared" si="597"/>
        <v>0</v>
      </c>
      <c r="BS53" s="23"/>
      <c r="BT53" s="24"/>
      <c r="BU53" s="21">
        <f t="shared" si="598"/>
        <v>0</v>
      </c>
      <c r="BV53" s="21">
        <f t="shared" si="599"/>
        <v>0</v>
      </c>
      <c r="BW53" s="21">
        <f t="shared" si="600"/>
        <v>0</v>
      </c>
      <c r="BX53" s="21">
        <f t="shared" si="601"/>
        <v>0</v>
      </c>
      <c r="BY53" s="22">
        <f t="shared" si="602"/>
        <v>0</v>
      </c>
      <c r="BZ53" s="23"/>
      <c r="CA53" s="24"/>
      <c r="CB53" s="21">
        <f t="shared" si="603"/>
        <v>0</v>
      </c>
      <c r="CC53" s="21">
        <f t="shared" si="604"/>
        <v>0</v>
      </c>
      <c r="CD53" s="21">
        <f t="shared" si="605"/>
        <v>0</v>
      </c>
      <c r="CE53" s="21">
        <f t="shared" si="606"/>
        <v>0</v>
      </c>
      <c r="CF53" s="22">
        <f t="shared" si="607"/>
        <v>0</v>
      </c>
      <c r="CG53" s="23"/>
      <c r="CH53" s="24"/>
      <c r="CI53" s="21">
        <f t="shared" si="608"/>
        <v>0</v>
      </c>
      <c r="CJ53" s="21">
        <f t="shared" si="609"/>
        <v>0</v>
      </c>
      <c r="CK53" s="21">
        <f t="shared" si="610"/>
        <v>0</v>
      </c>
      <c r="CL53" s="21">
        <f t="shared" si="611"/>
        <v>0</v>
      </c>
      <c r="CM53" s="22">
        <f t="shared" si="612"/>
        <v>0</v>
      </c>
      <c r="CN53" s="23"/>
      <c r="CO53" s="24"/>
      <c r="CP53" s="21">
        <f t="shared" si="613"/>
        <v>0</v>
      </c>
      <c r="CQ53" s="21">
        <f t="shared" si="614"/>
        <v>0</v>
      </c>
      <c r="CR53" s="21">
        <f t="shared" si="615"/>
        <v>0</v>
      </c>
      <c r="CS53" s="21">
        <f t="shared" si="616"/>
        <v>0</v>
      </c>
      <c r="CT53" s="22">
        <f t="shared" si="617"/>
        <v>0</v>
      </c>
    </row>
    <row r="54" spans="1:101" ht="24.75" customHeight="1">
      <c r="A54" s="83" t="s">
        <v>153</v>
      </c>
      <c r="B54" s="114"/>
      <c r="C54" s="18" t="s">
        <v>113</v>
      </c>
      <c r="D54" s="19">
        <f t="shared" si="444"/>
        <v>2800</v>
      </c>
      <c r="E54" s="20">
        <v>11</v>
      </c>
      <c r="F54" s="21">
        <v>5</v>
      </c>
      <c r="G54" s="22">
        <v>15000</v>
      </c>
      <c r="H54" s="19">
        <f t="shared" si="551"/>
        <v>0</v>
      </c>
      <c r="I54" s="21">
        <f t="shared" si="552"/>
        <v>0</v>
      </c>
      <c r="J54" s="21">
        <f t="shared" si="553"/>
        <v>0</v>
      </c>
      <c r="K54" s="21">
        <f t="shared" si="554"/>
        <v>0</v>
      </c>
      <c r="L54" s="21">
        <f t="shared" si="555"/>
        <v>0</v>
      </c>
      <c r="M54" s="21">
        <f t="shared" si="556"/>
        <v>0</v>
      </c>
      <c r="N54" s="22">
        <f t="shared" si="557"/>
        <v>0</v>
      </c>
      <c r="O54" s="23"/>
      <c r="P54" s="24"/>
      <c r="Q54" s="21">
        <f t="shared" si="558"/>
        <v>0</v>
      </c>
      <c r="R54" s="21">
        <f t="shared" si="559"/>
        <v>0</v>
      </c>
      <c r="S54" s="21">
        <f t="shared" si="560"/>
        <v>0</v>
      </c>
      <c r="T54" s="21">
        <f t="shared" si="561"/>
        <v>0</v>
      </c>
      <c r="U54" s="22">
        <f t="shared" si="562"/>
        <v>0</v>
      </c>
      <c r="V54" s="23"/>
      <c r="W54" s="24"/>
      <c r="X54" s="21">
        <f t="shared" si="563"/>
        <v>0</v>
      </c>
      <c r="Y54" s="21">
        <f t="shared" si="564"/>
        <v>0</v>
      </c>
      <c r="Z54" s="21">
        <f t="shared" si="565"/>
        <v>0</v>
      </c>
      <c r="AA54" s="21">
        <f t="shared" si="566"/>
        <v>0</v>
      </c>
      <c r="AB54" s="22">
        <f t="shared" si="567"/>
        <v>0</v>
      </c>
      <c r="AC54" s="23"/>
      <c r="AD54" s="24"/>
      <c r="AE54" s="21">
        <f t="shared" si="568"/>
        <v>0</v>
      </c>
      <c r="AF54" s="21">
        <f t="shared" si="569"/>
        <v>0</v>
      </c>
      <c r="AG54" s="21">
        <f t="shared" si="570"/>
        <v>0</v>
      </c>
      <c r="AH54" s="21">
        <f t="shared" si="571"/>
        <v>0</v>
      </c>
      <c r="AI54" s="22">
        <f t="shared" si="572"/>
        <v>0</v>
      </c>
      <c r="AJ54" s="23"/>
      <c r="AK54" s="24"/>
      <c r="AL54" s="21">
        <f t="shared" si="573"/>
        <v>0</v>
      </c>
      <c r="AM54" s="21">
        <f t="shared" si="574"/>
        <v>0</v>
      </c>
      <c r="AN54" s="21">
        <f t="shared" si="575"/>
        <v>0</v>
      </c>
      <c r="AO54" s="21">
        <f t="shared" si="576"/>
        <v>0</v>
      </c>
      <c r="AP54" s="22">
        <f t="shared" si="577"/>
        <v>0</v>
      </c>
      <c r="AQ54" s="23"/>
      <c r="AR54" s="24"/>
      <c r="AS54" s="21">
        <f t="shared" si="578"/>
        <v>0</v>
      </c>
      <c r="AT54" s="21">
        <f t="shared" si="579"/>
        <v>0</v>
      </c>
      <c r="AU54" s="21">
        <f t="shared" si="580"/>
        <v>0</v>
      </c>
      <c r="AV54" s="21">
        <f t="shared" si="581"/>
        <v>0</v>
      </c>
      <c r="AW54" s="22">
        <f t="shared" si="582"/>
        <v>0</v>
      </c>
      <c r="AX54" s="37">
        <f t="shared" si="618"/>
        <v>0</v>
      </c>
      <c r="AY54" s="24"/>
      <c r="AZ54" s="21">
        <f t="shared" si="583"/>
        <v>0</v>
      </c>
      <c r="BA54" s="21">
        <f t="shared" si="584"/>
        <v>0</v>
      </c>
      <c r="BB54" s="21">
        <f t="shared" si="585"/>
        <v>0</v>
      </c>
      <c r="BC54" s="21">
        <f t="shared" si="586"/>
        <v>0</v>
      </c>
      <c r="BD54" s="22">
        <f t="shared" si="587"/>
        <v>0</v>
      </c>
      <c r="BE54" s="23"/>
      <c r="BF54" s="24"/>
      <c r="BG54" s="21">
        <f t="shared" si="588"/>
        <v>0</v>
      </c>
      <c r="BH54" s="21">
        <f t="shared" si="589"/>
        <v>0</v>
      </c>
      <c r="BI54" s="21">
        <f t="shared" si="590"/>
        <v>0</v>
      </c>
      <c r="BJ54" s="21">
        <f t="shared" si="591"/>
        <v>0</v>
      </c>
      <c r="BK54" s="22">
        <f t="shared" si="592"/>
        <v>0</v>
      </c>
      <c r="BL54" s="23"/>
      <c r="BM54" s="24"/>
      <c r="BN54" s="21">
        <f t="shared" si="593"/>
        <v>0</v>
      </c>
      <c r="BO54" s="21">
        <f t="shared" si="594"/>
        <v>0</v>
      </c>
      <c r="BP54" s="21">
        <f t="shared" si="595"/>
        <v>0</v>
      </c>
      <c r="BQ54" s="21">
        <f t="shared" si="596"/>
        <v>0</v>
      </c>
      <c r="BR54" s="22">
        <f t="shared" si="597"/>
        <v>0</v>
      </c>
      <c r="BS54" s="23"/>
      <c r="BT54" s="24"/>
      <c r="BU54" s="21">
        <f t="shared" si="598"/>
        <v>0</v>
      </c>
      <c r="BV54" s="21">
        <f t="shared" si="599"/>
        <v>0</v>
      </c>
      <c r="BW54" s="21">
        <f t="shared" si="600"/>
        <v>0</v>
      </c>
      <c r="BX54" s="21">
        <f t="shared" si="601"/>
        <v>0</v>
      </c>
      <c r="BY54" s="22">
        <f t="shared" si="602"/>
        <v>0</v>
      </c>
      <c r="BZ54" s="23"/>
      <c r="CA54" s="24"/>
      <c r="CB54" s="21">
        <f t="shared" si="603"/>
        <v>0</v>
      </c>
      <c r="CC54" s="21">
        <f t="shared" si="604"/>
        <v>0</v>
      </c>
      <c r="CD54" s="21">
        <f t="shared" si="605"/>
        <v>0</v>
      </c>
      <c r="CE54" s="21">
        <f t="shared" si="606"/>
        <v>0</v>
      </c>
      <c r="CF54" s="22">
        <f t="shared" si="607"/>
        <v>0</v>
      </c>
      <c r="CG54" s="23"/>
      <c r="CH54" s="24"/>
      <c r="CI54" s="21">
        <f t="shared" si="608"/>
        <v>0</v>
      </c>
      <c r="CJ54" s="21">
        <f t="shared" si="609"/>
        <v>0</v>
      </c>
      <c r="CK54" s="21">
        <f t="shared" si="610"/>
        <v>0</v>
      </c>
      <c r="CL54" s="21">
        <f t="shared" si="611"/>
        <v>0</v>
      </c>
      <c r="CM54" s="22">
        <f t="shared" si="612"/>
        <v>0</v>
      </c>
      <c r="CN54" s="23"/>
      <c r="CO54" s="24"/>
      <c r="CP54" s="21">
        <f t="shared" si="613"/>
        <v>0</v>
      </c>
      <c r="CQ54" s="21">
        <f t="shared" si="614"/>
        <v>0</v>
      </c>
      <c r="CR54" s="21">
        <f t="shared" si="615"/>
        <v>0</v>
      </c>
      <c r="CS54" s="21">
        <f t="shared" si="616"/>
        <v>0</v>
      </c>
      <c r="CT54" s="22">
        <f t="shared" si="617"/>
        <v>0</v>
      </c>
    </row>
    <row r="55" spans="1:101" ht="24.75" customHeight="1">
      <c r="A55" s="83" t="s">
        <v>154</v>
      </c>
      <c r="B55" s="114"/>
      <c r="C55" s="42" t="s">
        <v>114</v>
      </c>
      <c r="D55" s="19">
        <f t="shared" si="444"/>
        <v>2800</v>
      </c>
      <c r="E55" s="20">
        <v>11</v>
      </c>
      <c r="F55" s="21">
        <v>5</v>
      </c>
      <c r="G55" s="22">
        <v>15000</v>
      </c>
      <c r="H55" s="19">
        <f t="shared" si="551"/>
        <v>0</v>
      </c>
      <c r="I55" s="21">
        <f t="shared" si="552"/>
        <v>0</v>
      </c>
      <c r="J55" s="21">
        <f t="shared" si="553"/>
        <v>0</v>
      </c>
      <c r="K55" s="21">
        <f t="shared" si="554"/>
        <v>0</v>
      </c>
      <c r="L55" s="21">
        <f t="shared" si="555"/>
        <v>0</v>
      </c>
      <c r="M55" s="21">
        <f t="shared" si="556"/>
        <v>0</v>
      </c>
      <c r="N55" s="22">
        <f t="shared" si="557"/>
        <v>0</v>
      </c>
      <c r="O55" s="23"/>
      <c r="P55" s="24"/>
      <c r="Q55" s="21">
        <f t="shared" si="558"/>
        <v>0</v>
      </c>
      <c r="R55" s="21">
        <f t="shared" si="559"/>
        <v>0</v>
      </c>
      <c r="S55" s="21">
        <f t="shared" si="560"/>
        <v>0</v>
      </c>
      <c r="T55" s="21">
        <f t="shared" si="561"/>
        <v>0</v>
      </c>
      <c r="U55" s="22">
        <f t="shared" si="562"/>
        <v>0</v>
      </c>
      <c r="V55" s="23"/>
      <c r="W55" s="24"/>
      <c r="X55" s="21">
        <f t="shared" si="563"/>
        <v>0</v>
      </c>
      <c r="Y55" s="21">
        <f t="shared" si="564"/>
        <v>0</v>
      </c>
      <c r="Z55" s="21">
        <f t="shared" si="565"/>
        <v>0</v>
      </c>
      <c r="AA55" s="21">
        <f t="shared" si="566"/>
        <v>0</v>
      </c>
      <c r="AB55" s="22">
        <f t="shared" si="567"/>
        <v>0</v>
      </c>
      <c r="AC55" s="23"/>
      <c r="AD55" s="24"/>
      <c r="AE55" s="21">
        <f t="shared" si="568"/>
        <v>0</v>
      </c>
      <c r="AF55" s="21">
        <f t="shared" si="569"/>
        <v>0</v>
      </c>
      <c r="AG55" s="21">
        <f t="shared" si="570"/>
        <v>0</v>
      </c>
      <c r="AH55" s="21">
        <f t="shared" si="571"/>
        <v>0</v>
      </c>
      <c r="AI55" s="22">
        <f t="shared" si="572"/>
        <v>0</v>
      </c>
      <c r="AJ55" s="23"/>
      <c r="AK55" s="24"/>
      <c r="AL55" s="21">
        <f t="shared" si="573"/>
        <v>0</v>
      </c>
      <c r="AM55" s="21">
        <f t="shared" si="574"/>
        <v>0</v>
      </c>
      <c r="AN55" s="21">
        <f t="shared" si="575"/>
        <v>0</v>
      </c>
      <c r="AO55" s="21">
        <f t="shared" si="576"/>
        <v>0</v>
      </c>
      <c r="AP55" s="22">
        <f t="shared" si="577"/>
        <v>0</v>
      </c>
      <c r="AQ55" s="23"/>
      <c r="AR55" s="24"/>
      <c r="AS55" s="21">
        <f t="shared" si="578"/>
        <v>0</v>
      </c>
      <c r="AT55" s="21">
        <f t="shared" si="579"/>
        <v>0</v>
      </c>
      <c r="AU55" s="21">
        <f t="shared" si="580"/>
        <v>0</v>
      </c>
      <c r="AV55" s="21">
        <f t="shared" si="581"/>
        <v>0</v>
      </c>
      <c r="AW55" s="22">
        <f t="shared" si="582"/>
        <v>0</v>
      </c>
      <c r="AX55" s="37">
        <f t="shared" si="618"/>
        <v>0</v>
      </c>
      <c r="AY55" s="24"/>
      <c r="AZ55" s="21">
        <f t="shared" si="583"/>
        <v>0</v>
      </c>
      <c r="BA55" s="21">
        <f t="shared" si="584"/>
        <v>0</v>
      </c>
      <c r="BB55" s="21">
        <f t="shared" si="585"/>
        <v>0</v>
      </c>
      <c r="BC55" s="21">
        <f t="shared" si="586"/>
        <v>0</v>
      </c>
      <c r="BD55" s="22">
        <f t="shared" si="587"/>
        <v>0</v>
      </c>
      <c r="BE55" s="23"/>
      <c r="BF55" s="24"/>
      <c r="BG55" s="21">
        <f t="shared" si="588"/>
        <v>0</v>
      </c>
      <c r="BH55" s="21">
        <f t="shared" si="589"/>
        <v>0</v>
      </c>
      <c r="BI55" s="21">
        <f t="shared" si="590"/>
        <v>0</v>
      </c>
      <c r="BJ55" s="21">
        <f t="shared" si="591"/>
        <v>0</v>
      </c>
      <c r="BK55" s="22">
        <f t="shared" si="592"/>
        <v>0</v>
      </c>
      <c r="BL55" s="23"/>
      <c r="BM55" s="24"/>
      <c r="BN55" s="21">
        <f t="shared" si="593"/>
        <v>0</v>
      </c>
      <c r="BO55" s="21">
        <f t="shared" si="594"/>
        <v>0</v>
      </c>
      <c r="BP55" s="21">
        <f t="shared" si="595"/>
        <v>0</v>
      </c>
      <c r="BQ55" s="21">
        <f t="shared" si="596"/>
        <v>0</v>
      </c>
      <c r="BR55" s="22">
        <f t="shared" si="597"/>
        <v>0</v>
      </c>
      <c r="BS55" s="23"/>
      <c r="BT55" s="24"/>
      <c r="BU55" s="21">
        <f t="shared" si="598"/>
        <v>0</v>
      </c>
      <c r="BV55" s="21">
        <f t="shared" si="599"/>
        <v>0</v>
      </c>
      <c r="BW55" s="21">
        <f t="shared" si="600"/>
        <v>0</v>
      </c>
      <c r="BX55" s="21">
        <f t="shared" si="601"/>
        <v>0</v>
      </c>
      <c r="BY55" s="22">
        <f t="shared" si="602"/>
        <v>0</v>
      </c>
      <c r="BZ55" s="23"/>
      <c r="CA55" s="24"/>
      <c r="CB55" s="21">
        <f t="shared" si="603"/>
        <v>0</v>
      </c>
      <c r="CC55" s="21">
        <f t="shared" si="604"/>
        <v>0</v>
      </c>
      <c r="CD55" s="21">
        <f t="shared" si="605"/>
        <v>0</v>
      </c>
      <c r="CE55" s="21">
        <f t="shared" si="606"/>
        <v>0</v>
      </c>
      <c r="CF55" s="22">
        <f t="shared" si="607"/>
        <v>0</v>
      </c>
      <c r="CG55" s="23"/>
      <c r="CH55" s="24"/>
      <c r="CI55" s="21">
        <f t="shared" si="608"/>
        <v>0</v>
      </c>
      <c r="CJ55" s="21">
        <f t="shared" si="609"/>
        <v>0</v>
      </c>
      <c r="CK55" s="21">
        <f t="shared" si="610"/>
        <v>0</v>
      </c>
      <c r="CL55" s="21">
        <f t="shared" si="611"/>
        <v>0</v>
      </c>
      <c r="CM55" s="22">
        <f t="shared" si="612"/>
        <v>0</v>
      </c>
      <c r="CN55" s="23"/>
      <c r="CO55" s="24"/>
      <c r="CP55" s="21">
        <f t="shared" si="613"/>
        <v>0</v>
      </c>
      <c r="CQ55" s="21">
        <f t="shared" si="614"/>
        <v>0</v>
      </c>
      <c r="CR55" s="21">
        <f t="shared" si="615"/>
        <v>0</v>
      </c>
      <c r="CS55" s="21">
        <f t="shared" si="616"/>
        <v>0</v>
      </c>
      <c r="CT55" s="22">
        <f t="shared" si="617"/>
        <v>0</v>
      </c>
    </row>
    <row r="56" spans="1:101" ht="24.75" customHeight="1">
      <c r="A56" s="83" t="s">
        <v>155</v>
      </c>
      <c r="B56" s="114"/>
      <c r="C56" s="18" t="s">
        <v>115</v>
      </c>
      <c r="D56" s="19">
        <f t="shared" si="444"/>
        <v>2800</v>
      </c>
      <c r="E56" s="20">
        <v>11</v>
      </c>
      <c r="F56" s="21">
        <v>5</v>
      </c>
      <c r="G56" s="22">
        <v>15000</v>
      </c>
      <c r="H56" s="19">
        <f t="shared" si="551"/>
        <v>0</v>
      </c>
      <c r="I56" s="21">
        <f t="shared" si="552"/>
        <v>0</v>
      </c>
      <c r="J56" s="21">
        <f t="shared" si="553"/>
        <v>0</v>
      </c>
      <c r="K56" s="21">
        <f t="shared" si="554"/>
        <v>0</v>
      </c>
      <c r="L56" s="21">
        <f t="shared" si="555"/>
        <v>0</v>
      </c>
      <c r="M56" s="21">
        <f t="shared" si="556"/>
        <v>0</v>
      </c>
      <c r="N56" s="22">
        <f t="shared" si="557"/>
        <v>0</v>
      </c>
      <c r="O56" s="23"/>
      <c r="P56" s="24"/>
      <c r="Q56" s="21">
        <f t="shared" si="558"/>
        <v>0</v>
      </c>
      <c r="R56" s="21">
        <f t="shared" si="559"/>
        <v>0</v>
      </c>
      <c r="S56" s="21">
        <f t="shared" si="560"/>
        <v>0</v>
      </c>
      <c r="T56" s="21">
        <f t="shared" si="561"/>
        <v>0</v>
      </c>
      <c r="U56" s="22">
        <f t="shared" si="562"/>
        <v>0</v>
      </c>
      <c r="V56" s="23"/>
      <c r="W56" s="24"/>
      <c r="X56" s="21">
        <f t="shared" si="563"/>
        <v>0</v>
      </c>
      <c r="Y56" s="21">
        <f t="shared" si="564"/>
        <v>0</v>
      </c>
      <c r="Z56" s="21">
        <f t="shared" si="565"/>
        <v>0</v>
      </c>
      <c r="AA56" s="21">
        <f t="shared" si="566"/>
        <v>0</v>
      </c>
      <c r="AB56" s="22">
        <f t="shared" si="567"/>
        <v>0</v>
      </c>
      <c r="AC56" s="23"/>
      <c r="AD56" s="24"/>
      <c r="AE56" s="21">
        <f t="shared" si="568"/>
        <v>0</v>
      </c>
      <c r="AF56" s="21">
        <f t="shared" si="569"/>
        <v>0</v>
      </c>
      <c r="AG56" s="21">
        <f t="shared" si="570"/>
        <v>0</v>
      </c>
      <c r="AH56" s="21">
        <f t="shared" si="571"/>
        <v>0</v>
      </c>
      <c r="AI56" s="22">
        <f t="shared" si="572"/>
        <v>0</v>
      </c>
      <c r="AJ56" s="23"/>
      <c r="AK56" s="24"/>
      <c r="AL56" s="21"/>
      <c r="AM56" s="21"/>
      <c r="AN56" s="21"/>
      <c r="AO56" s="21"/>
      <c r="AP56" s="22"/>
      <c r="AQ56" s="23"/>
      <c r="AR56" s="24"/>
      <c r="AS56" s="21">
        <f t="shared" si="578"/>
        <v>0</v>
      </c>
      <c r="AT56" s="21"/>
      <c r="AU56" s="21"/>
      <c r="AV56" s="21">
        <f t="shared" si="581"/>
        <v>0</v>
      </c>
      <c r="AW56" s="22"/>
      <c r="AX56" s="37">
        <f t="shared" si="618"/>
        <v>0</v>
      </c>
      <c r="AY56" s="24"/>
      <c r="AZ56" s="21"/>
      <c r="BA56" s="21"/>
      <c r="BB56" s="21"/>
      <c r="BC56" s="21"/>
      <c r="BD56" s="22"/>
      <c r="BE56" s="23"/>
      <c r="BF56" s="24"/>
      <c r="BG56" s="21"/>
      <c r="BH56" s="21"/>
      <c r="BI56" s="21"/>
      <c r="BJ56" s="21"/>
      <c r="BK56" s="22"/>
      <c r="BL56" s="23"/>
      <c r="BM56" s="24"/>
      <c r="BN56" s="21"/>
      <c r="BO56" s="21"/>
      <c r="BP56" s="21"/>
      <c r="BQ56" s="21"/>
      <c r="BR56" s="22"/>
      <c r="BS56" s="23"/>
      <c r="BT56" s="24"/>
      <c r="BU56" s="21"/>
      <c r="BV56" s="21"/>
      <c r="BW56" s="21"/>
      <c r="BX56" s="21"/>
      <c r="BY56" s="22"/>
      <c r="BZ56" s="23"/>
      <c r="CA56" s="24"/>
      <c r="CB56" s="21"/>
      <c r="CC56" s="21"/>
      <c r="CD56" s="21"/>
      <c r="CE56" s="21"/>
      <c r="CF56" s="22"/>
      <c r="CG56" s="23"/>
      <c r="CH56" s="24"/>
      <c r="CI56" s="21"/>
      <c r="CJ56" s="21"/>
      <c r="CK56" s="21"/>
      <c r="CL56" s="21"/>
      <c r="CM56" s="22"/>
      <c r="CN56" s="23"/>
      <c r="CO56" s="24"/>
      <c r="CP56" s="21"/>
      <c r="CQ56" s="21"/>
      <c r="CR56" s="21"/>
      <c r="CS56" s="21"/>
      <c r="CT56" s="22"/>
    </row>
    <row r="57" spans="1:101" ht="24.75" customHeight="1">
      <c r="A57" s="83" t="s">
        <v>156</v>
      </c>
      <c r="B57" s="117"/>
      <c r="C57" s="76" t="s">
        <v>116</v>
      </c>
      <c r="D57" s="77">
        <f t="shared" si="444"/>
        <v>2800</v>
      </c>
      <c r="E57" s="78">
        <v>11</v>
      </c>
      <c r="F57" s="79">
        <v>5</v>
      </c>
      <c r="G57" s="80">
        <v>15000</v>
      </c>
      <c r="H57" s="77">
        <f t="shared" si="551"/>
        <v>0</v>
      </c>
      <c r="I57" s="79">
        <f t="shared" si="552"/>
        <v>0</v>
      </c>
      <c r="J57" s="79">
        <f t="shared" si="553"/>
        <v>0</v>
      </c>
      <c r="K57" s="79">
        <f t="shared" si="554"/>
        <v>0</v>
      </c>
      <c r="L57" s="79">
        <f t="shared" si="555"/>
        <v>0</v>
      </c>
      <c r="M57" s="79">
        <f t="shared" si="556"/>
        <v>0</v>
      </c>
      <c r="N57" s="80">
        <f t="shared" si="557"/>
        <v>0</v>
      </c>
      <c r="O57" s="81"/>
      <c r="P57" s="82"/>
      <c r="Q57" s="79">
        <f t="shared" si="558"/>
        <v>0</v>
      </c>
      <c r="R57" s="79">
        <f t="shared" si="559"/>
        <v>0</v>
      </c>
      <c r="S57" s="79">
        <f t="shared" si="560"/>
        <v>0</v>
      </c>
      <c r="T57" s="79">
        <f t="shared" si="561"/>
        <v>0</v>
      </c>
      <c r="U57" s="80">
        <f t="shared" si="562"/>
        <v>0</v>
      </c>
      <c r="V57" s="81"/>
      <c r="W57" s="82"/>
      <c r="X57" s="79">
        <f t="shared" si="563"/>
        <v>0</v>
      </c>
      <c r="Y57" s="79">
        <f t="shared" si="564"/>
        <v>0</v>
      </c>
      <c r="Z57" s="79">
        <f t="shared" si="565"/>
        <v>0</v>
      </c>
      <c r="AA57" s="79">
        <f t="shared" si="566"/>
        <v>0</v>
      </c>
      <c r="AB57" s="80">
        <f t="shared" si="567"/>
        <v>0</v>
      </c>
      <c r="AC57" s="81"/>
      <c r="AD57" s="82"/>
      <c r="AE57" s="79">
        <f t="shared" si="568"/>
        <v>0</v>
      </c>
      <c r="AF57" s="79">
        <f t="shared" si="569"/>
        <v>0</v>
      </c>
      <c r="AG57" s="79">
        <f t="shared" si="570"/>
        <v>0</v>
      </c>
      <c r="AH57" s="79">
        <f t="shared" si="571"/>
        <v>0</v>
      </c>
      <c r="AI57" s="80">
        <f t="shared" si="572"/>
        <v>0</v>
      </c>
      <c r="AJ57" s="81"/>
      <c r="AK57" s="82"/>
      <c r="AL57" s="79">
        <f t="shared" ref="AL57" si="619">AK57*$D57</f>
        <v>0</v>
      </c>
      <c r="AM57" s="79">
        <f t="shared" ref="AM57" si="620">AJ57*$E57</f>
        <v>0</v>
      </c>
      <c r="AN57" s="79">
        <f t="shared" ref="AN57" si="621">AJ57*$F57</f>
        <v>0</v>
      </c>
      <c r="AO57" s="79">
        <f t="shared" ref="AO57" si="622">AK57*$G57</f>
        <v>0</v>
      </c>
      <c r="AP57" s="80">
        <f t="shared" ref="AP57" si="623">SUM(AL57:AO57)</f>
        <v>0</v>
      </c>
      <c r="AQ57" s="81"/>
      <c r="AR57" s="82"/>
      <c r="AS57" s="79">
        <f t="shared" si="578"/>
        <v>0</v>
      </c>
      <c r="AT57" s="79">
        <f t="shared" ref="AT57" si="624">AQ57*$E57</f>
        <v>0</v>
      </c>
      <c r="AU57" s="79">
        <f t="shared" ref="AU57" si="625">AQ57*$F57</f>
        <v>0</v>
      </c>
      <c r="AV57" s="79">
        <f t="shared" si="581"/>
        <v>0</v>
      </c>
      <c r="AW57" s="80">
        <f t="shared" ref="AW57" si="626">SUM(AS57:AV57)</f>
        <v>0</v>
      </c>
      <c r="AX57" s="37">
        <f t="shared" si="618"/>
        <v>0</v>
      </c>
      <c r="AY57" s="82"/>
      <c r="AZ57" s="79">
        <f t="shared" ref="AZ57" si="627">AY57*$D57</f>
        <v>0</v>
      </c>
      <c r="BA57" s="79">
        <f t="shared" ref="BA57" si="628">AX57*$E57</f>
        <v>0</v>
      </c>
      <c r="BB57" s="79">
        <f t="shared" ref="BB57" si="629">AX57*$F57</f>
        <v>0</v>
      </c>
      <c r="BC57" s="79">
        <f t="shared" ref="BC57" si="630">AY57*$G57</f>
        <v>0</v>
      </c>
      <c r="BD57" s="80">
        <f t="shared" ref="BD57" si="631">SUM(AZ57:BC57)</f>
        <v>0</v>
      </c>
      <c r="BE57" s="81"/>
      <c r="BF57" s="82"/>
      <c r="BG57" s="79">
        <f t="shared" ref="BG57" si="632">BF57*$D57</f>
        <v>0</v>
      </c>
      <c r="BH57" s="79">
        <f t="shared" ref="BH57" si="633">BE57*$E57</f>
        <v>0</v>
      </c>
      <c r="BI57" s="79">
        <f t="shared" ref="BI57" si="634">BE57*$F57</f>
        <v>0</v>
      </c>
      <c r="BJ57" s="79">
        <f t="shared" ref="BJ57" si="635">BF57*$G57</f>
        <v>0</v>
      </c>
      <c r="BK57" s="80">
        <f t="shared" ref="BK57" si="636">SUM(BG57:BJ57)</f>
        <v>0</v>
      </c>
      <c r="BL57" s="81"/>
      <c r="BM57" s="82"/>
      <c r="BN57" s="79">
        <f t="shared" ref="BN57" si="637">BM57*$D57</f>
        <v>0</v>
      </c>
      <c r="BO57" s="79">
        <f t="shared" ref="BO57" si="638">BL57*$E57</f>
        <v>0</v>
      </c>
      <c r="BP57" s="79">
        <f t="shared" ref="BP57" si="639">BL57*$F57</f>
        <v>0</v>
      </c>
      <c r="BQ57" s="79">
        <f t="shared" ref="BQ57" si="640">BM57*$G57</f>
        <v>0</v>
      </c>
      <c r="BR57" s="80">
        <f t="shared" ref="BR57" si="641">SUM(BN57:BQ57)</f>
        <v>0</v>
      </c>
      <c r="BS57" s="81"/>
      <c r="BT57" s="82"/>
      <c r="BU57" s="79">
        <f t="shared" ref="BU57" si="642">BT57*$D57</f>
        <v>0</v>
      </c>
      <c r="BV57" s="79">
        <f t="shared" ref="BV57" si="643">BS57*$E57</f>
        <v>0</v>
      </c>
      <c r="BW57" s="79">
        <f t="shared" ref="BW57" si="644">BS57*$F57</f>
        <v>0</v>
      </c>
      <c r="BX57" s="79">
        <f t="shared" ref="BX57" si="645">BT57*$G57</f>
        <v>0</v>
      </c>
      <c r="BY57" s="80">
        <f t="shared" ref="BY57" si="646">SUM(BU57:BX57)</f>
        <v>0</v>
      </c>
      <c r="BZ57" s="81"/>
      <c r="CA57" s="82"/>
      <c r="CB57" s="79">
        <f t="shared" ref="CB57" si="647">CA57*$D57</f>
        <v>0</v>
      </c>
      <c r="CC57" s="79">
        <f t="shared" ref="CC57" si="648">BZ57*$E57</f>
        <v>0</v>
      </c>
      <c r="CD57" s="79">
        <f t="shared" ref="CD57" si="649">BZ57*$F57</f>
        <v>0</v>
      </c>
      <c r="CE57" s="79">
        <f t="shared" ref="CE57" si="650">CA57*$G57</f>
        <v>0</v>
      </c>
      <c r="CF57" s="80">
        <f t="shared" ref="CF57" si="651">SUM(CB57:CE57)</f>
        <v>0</v>
      </c>
      <c r="CG57" s="81"/>
      <c r="CH57" s="82"/>
      <c r="CI57" s="79">
        <f t="shared" ref="CI57" si="652">CH57*$D57</f>
        <v>0</v>
      </c>
      <c r="CJ57" s="79">
        <f t="shared" ref="CJ57" si="653">CG57*$E57</f>
        <v>0</v>
      </c>
      <c r="CK57" s="79">
        <f t="shared" ref="CK57" si="654">CG57*$F57</f>
        <v>0</v>
      </c>
      <c r="CL57" s="79">
        <f t="shared" ref="CL57" si="655">CH57*$G57</f>
        <v>0</v>
      </c>
      <c r="CM57" s="80">
        <f t="shared" ref="CM57" si="656">SUM(CI57:CL57)</f>
        <v>0</v>
      </c>
      <c r="CN57" s="81"/>
      <c r="CO57" s="82"/>
      <c r="CP57" s="79">
        <f t="shared" ref="CP57" si="657">CO57*$D57</f>
        <v>0</v>
      </c>
      <c r="CQ57" s="79">
        <f t="shared" ref="CQ57" si="658">CN57*$E57</f>
        <v>0</v>
      </c>
      <c r="CR57" s="79">
        <f t="shared" ref="CR57" si="659">CN57*$F57</f>
        <v>0</v>
      </c>
      <c r="CS57" s="79">
        <f t="shared" ref="CS57" si="660">CO57*$G57</f>
        <v>0</v>
      </c>
      <c r="CT57" s="80">
        <f t="shared" ref="CT57" si="661">SUM(CP57:CS57)</f>
        <v>0</v>
      </c>
    </row>
    <row r="58" spans="1:101" ht="24.75" customHeight="1">
      <c r="A58" s="1"/>
      <c r="B58" s="56"/>
      <c r="C58" s="57"/>
      <c r="D58" s="58"/>
      <c r="E58" s="59"/>
      <c r="F58" s="58"/>
      <c r="G58" s="58"/>
      <c r="H58" s="58"/>
      <c r="I58" s="58"/>
      <c r="J58" s="58"/>
      <c r="K58" s="58"/>
      <c r="L58" s="58"/>
      <c r="M58" s="58"/>
      <c r="N58" s="58"/>
      <c r="O58" s="60"/>
      <c r="P58" s="60"/>
      <c r="Q58" s="58"/>
      <c r="R58" s="58"/>
      <c r="S58" s="58"/>
      <c r="T58" s="58"/>
      <c r="U58" s="58"/>
      <c r="V58" s="60"/>
      <c r="W58" s="60"/>
      <c r="X58" s="58"/>
      <c r="Y58" s="58"/>
      <c r="Z58" s="58"/>
      <c r="AA58" s="58"/>
      <c r="AB58" s="58"/>
      <c r="AC58" s="60"/>
      <c r="AD58" s="60"/>
      <c r="AE58" s="58"/>
      <c r="AF58" s="58"/>
      <c r="AG58" s="58"/>
      <c r="AH58" s="58"/>
      <c r="AI58" s="58"/>
      <c r="AJ58" s="60"/>
      <c r="AK58" s="60"/>
      <c r="AL58" s="58"/>
      <c r="AM58" s="58"/>
      <c r="AN58" s="58"/>
      <c r="AO58" s="58"/>
      <c r="AP58" s="58"/>
      <c r="AQ58" s="60"/>
      <c r="AR58" s="60"/>
      <c r="AS58" s="58"/>
      <c r="AT58" s="58"/>
      <c r="AU58" s="58"/>
      <c r="AV58" s="58"/>
      <c r="AW58" s="58"/>
      <c r="AX58" s="60"/>
      <c r="AY58" s="60"/>
      <c r="AZ58" s="58"/>
      <c r="BA58" s="58"/>
      <c r="BB58" s="58"/>
      <c r="BC58" s="58"/>
      <c r="BD58" s="58"/>
      <c r="BE58" s="60"/>
      <c r="BF58" s="60"/>
      <c r="BG58" s="58"/>
      <c r="BH58" s="58"/>
      <c r="BI58" s="58"/>
      <c r="BJ58" s="58"/>
      <c r="BK58" s="58"/>
      <c r="BL58" s="60"/>
      <c r="BM58" s="60"/>
      <c r="BN58" s="58"/>
      <c r="BO58" s="58"/>
      <c r="BP58" s="58"/>
      <c r="BQ58" s="58"/>
      <c r="BR58" s="58"/>
      <c r="BS58" s="60"/>
      <c r="BT58" s="60"/>
      <c r="BU58" s="58"/>
      <c r="BV58" s="58"/>
      <c r="BW58" s="58"/>
      <c r="BX58" s="58"/>
      <c r="BY58" s="58"/>
      <c r="BZ58" s="60"/>
      <c r="CA58" s="60"/>
      <c r="CB58" s="58"/>
      <c r="CC58" s="58"/>
      <c r="CD58" s="58"/>
      <c r="CE58" s="58"/>
      <c r="CF58" s="58"/>
      <c r="CG58" s="60"/>
      <c r="CH58" s="60"/>
      <c r="CI58" s="58"/>
      <c r="CJ58" s="58"/>
      <c r="CK58" s="58"/>
      <c r="CL58" s="58"/>
      <c r="CM58" s="58"/>
      <c r="CN58" s="60"/>
      <c r="CO58" s="60"/>
      <c r="CP58" s="58"/>
      <c r="CQ58" s="58"/>
      <c r="CR58" s="58"/>
      <c r="CS58" s="58"/>
      <c r="CT58" s="58"/>
    </row>
    <row r="59" spans="1:101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1" t="s">
        <v>59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40" t="s">
        <v>58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101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52">
        <f>SUM(E65:M65)</f>
        <v>218074069.27999997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50">
        <f>SUM(N65:Y65)</f>
        <v>178576500.55999997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101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52">
        <f>SUM(E66:M66)</f>
        <v>19680995673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50">
        <f>SUM(N66:Y66)</f>
        <v>13220954951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101" ht="18" customHeight="1">
      <c r="A62" s="1"/>
      <c r="B62" s="1"/>
      <c r="C62" s="1"/>
      <c r="D62" s="53"/>
      <c r="E62" s="54"/>
      <c r="F62" s="54"/>
      <c r="G62" s="54"/>
      <c r="H62" s="54"/>
      <c r="I62" s="54"/>
      <c r="J62" s="54"/>
      <c r="K62" s="54"/>
      <c r="L62" s="54"/>
      <c r="M62" s="55">
        <f>M60/M61</f>
        <v>1.1080438861087288E-2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5">
        <f>Y60/Y61</f>
        <v>1.3507080329813308E-2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39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101" ht="18" customHeight="1">
      <c r="A63" s="1"/>
      <c r="B63" s="1"/>
      <c r="C63" s="1"/>
      <c r="D63" s="108" t="s">
        <v>60</v>
      </c>
      <c r="E63" s="108" t="s">
        <v>61</v>
      </c>
      <c r="F63" s="108"/>
      <c r="G63" s="108"/>
      <c r="H63" s="108"/>
      <c r="I63" s="108"/>
      <c r="J63" s="108"/>
      <c r="K63" s="108"/>
      <c r="L63" s="108"/>
      <c r="M63" s="108"/>
      <c r="N63" s="108" t="s">
        <v>62</v>
      </c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39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101" ht="18" customHeight="1">
      <c r="A64" s="1"/>
      <c r="B64" s="1"/>
      <c r="C64" s="1"/>
      <c r="D64" s="108"/>
      <c r="E64" s="64" t="s">
        <v>63</v>
      </c>
      <c r="F64" s="64" t="s">
        <v>64</v>
      </c>
      <c r="G64" s="64" t="s">
        <v>65</v>
      </c>
      <c r="H64" s="64" t="s">
        <v>66</v>
      </c>
      <c r="I64" s="64" t="s">
        <v>67</v>
      </c>
      <c r="J64" s="64" t="s">
        <v>68</v>
      </c>
      <c r="K64" s="64" t="s">
        <v>69</v>
      </c>
      <c r="L64" s="64" t="s">
        <v>70</v>
      </c>
      <c r="M64" s="64" t="s">
        <v>71</v>
      </c>
      <c r="N64" s="65" t="s">
        <v>72</v>
      </c>
      <c r="O64" s="65" t="s">
        <v>73</v>
      </c>
      <c r="P64" s="65" t="s">
        <v>74</v>
      </c>
      <c r="Q64" s="65" t="s">
        <v>75</v>
      </c>
      <c r="R64" s="65" t="s">
        <v>64</v>
      </c>
      <c r="S64" s="65" t="s">
        <v>65</v>
      </c>
      <c r="T64" s="65" t="s">
        <v>66</v>
      </c>
      <c r="U64" s="65" t="s">
        <v>67</v>
      </c>
      <c r="V64" s="65" t="s">
        <v>68</v>
      </c>
      <c r="W64" s="65" t="s">
        <v>69</v>
      </c>
      <c r="X64" s="65" t="s">
        <v>70</v>
      </c>
      <c r="Y64" s="65" t="s">
        <v>71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2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1:101" ht="18" customHeight="1">
      <c r="A65" s="1"/>
      <c r="B65" s="1"/>
      <c r="C65" s="1"/>
      <c r="D65" s="66" t="s">
        <v>77</v>
      </c>
      <c r="E65" s="61">
        <v>795520</v>
      </c>
      <c r="F65" s="61">
        <v>20285760</v>
      </c>
      <c r="G65" s="61">
        <v>34207360</v>
      </c>
      <c r="H65" s="61">
        <v>27445440</v>
      </c>
      <c r="I65" s="61">
        <v>24667446.400000002</v>
      </c>
      <c r="J65" s="61">
        <v>53183780.799999997</v>
      </c>
      <c r="K65" s="61">
        <v>24798903.200000003</v>
      </c>
      <c r="L65" s="61">
        <v>7565117.04</v>
      </c>
      <c r="M65" s="61">
        <v>25124741.84</v>
      </c>
      <c r="N65" s="62">
        <f>U3</f>
        <v>51013777.359999999</v>
      </c>
      <c r="O65" s="62">
        <f>AB3</f>
        <v>15264526</v>
      </c>
      <c r="P65" s="62">
        <f>AI3</f>
        <v>29042361.599999998</v>
      </c>
      <c r="Q65" s="62">
        <f>AP3</f>
        <v>28660251.599999998</v>
      </c>
      <c r="R65" s="62">
        <f>AW3</f>
        <v>32515667.599999994</v>
      </c>
      <c r="S65" s="62">
        <f>BD3</f>
        <v>22079916.399999999</v>
      </c>
      <c r="T65" s="62">
        <f>BK3</f>
        <v>0</v>
      </c>
      <c r="U65" s="62">
        <f>BR3</f>
        <v>0</v>
      </c>
      <c r="V65" s="62">
        <f>BY3</f>
        <v>0</v>
      </c>
      <c r="W65" s="62">
        <f>CF3</f>
        <v>0</v>
      </c>
      <c r="X65" s="62">
        <f>CM3</f>
        <v>0</v>
      </c>
      <c r="Y65" s="62">
        <f>CT3</f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1:101" ht="18" customHeight="1">
      <c r="A66" s="1"/>
      <c r="B66" s="1"/>
      <c r="C66" s="1"/>
      <c r="D66" s="66" t="s">
        <v>78</v>
      </c>
      <c r="E66" s="61">
        <v>2530843178</v>
      </c>
      <c r="F66" s="61">
        <v>2398699509</v>
      </c>
      <c r="G66" s="61">
        <v>2667219080</v>
      </c>
      <c r="H66" s="61">
        <v>2637426758</v>
      </c>
      <c r="I66" s="61">
        <v>2169360007</v>
      </c>
      <c r="J66" s="61">
        <v>3105564815</v>
      </c>
      <c r="K66" s="61">
        <v>1621443974</v>
      </c>
      <c r="L66" s="61">
        <v>746215306</v>
      </c>
      <c r="M66" s="61">
        <v>1804223046</v>
      </c>
      <c r="N66" s="62">
        <v>2447466737</v>
      </c>
      <c r="O66" s="62">
        <v>1674213567</v>
      </c>
      <c r="P66" s="62">
        <v>1907300958</v>
      </c>
      <c r="Q66" s="62">
        <v>2349855331</v>
      </c>
      <c r="R66" s="62">
        <v>2609565928</v>
      </c>
      <c r="S66" s="62">
        <v>2232552430</v>
      </c>
      <c r="T66" s="62"/>
      <c r="U66" s="62"/>
      <c r="V66" s="62"/>
      <c r="W66" s="62"/>
      <c r="X66" s="62"/>
      <c r="Y66" s="62"/>
      <c r="AD66" s="1"/>
      <c r="AE66" s="1"/>
      <c r="AF66" s="1"/>
      <c r="AG66" s="41"/>
      <c r="AH66" s="41"/>
      <c r="AI66" s="41"/>
      <c r="AJ66" s="1"/>
      <c r="AK66" s="1"/>
      <c r="AL66" s="1"/>
      <c r="AM66" s="1"/>
      <c r="AN66" s="41"/>
      <c r="AO66" s="41"/>
      <c r="AP66" s="4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</row>
    <row r="67" spans="1:101" ht="18" customHeight="1">
      <c r="A67" s="1"/>
      <c r="B67" s="1"/>
      <c r="C67" s="1"/>
      <c r="D67" s="66" t="s">
        <v>79</v>
      </c>
      <c r="E67" s="63">
        <f>E65/E66</f>
        <v>3.1433002523240496E-4</v>
      </c>
      <c r="F67" s="63">
        <f t="shared" ref="F67:Y67" si="662">F65/F66</f>
        <v>8.4569825957303765E-3</v>
      </c>
      <c r="G67" s="63">
        <f t="shared" si="662"/>
        <v>1.2825103215743342E-2</v>
      </c>
      <c r="H67" s="63">
        <f t="shared" si="662"/>
        <v>1.0406143001602169E-2</v>
      </c>
      <c r="I67" s="63">
        <f t="shared" si="662"/>
        <v>1.1370840395510251E-2</v>
      </c>
      <c r="J67" s="63">
        <f t="shared" si="662"/>
        <v>1.7125316639060389E-2</v>
      </c>
      <c r="K67" s="63">
        <f t="shared" si="662"/>
        <v>1.5294332457767673E-2</v>
      </c>
      <c r="L67" s="63">
        <f t="shared" si="662"/>
        <v>1.0137981597498886E-2</v>
      </c>
      <c r="M67" s="63">
        <f t="shared" si="662"/>
        <v>1.3925518740990519E-2</v>
      </c>
      <c r="N67" s="63">
        <f>N65/N66</f>
        <v>2.084350180894818E-2</v>
      </c>
      <c r="O67" s="63">
        <f t="shared" si="662"/>
        <v>9.1174305959975527E-3</v>
      </c>
      <c r="P67" s="63">
        <f t="shared" si="662"/>
        <v>1.5226942281019919E-2</v>
      </c>
      <c r="Q67" s="63">
        <f t="shared" si="662"/>
        <v>1.2196602583105997E-2</v>
      </c>
      <c r="R67" s="63">
        <f t="shared" si="662"/>
        <v>1.2460182458360176E-2</v>
      </c>
      <c r="S67" s="63">
        <f t="shared" si="662"/>
        <v>9.8899878467803778E-3</v>
      </c>
      <c r="T67" s="63" t="e">
        <f t="shared" si="662"/>
        <v>#DIV/0!</v>
      </c>
      <c r="U67" s="63" t="e">
        <f t="shared" si="662"/>
        <v>#DIV/0!</v>
      </c>
      <c r="V67" s="63" t="e">
        <f t="shared" si="662"/>
        <v>#DIV/0!</v>
      </c>
      <c r="W67" s="63" t="e">
        <f t="shared" si="662"/>
        <v>#DIV/0!</v>
      </c>
      <c r="X67" s="63" t="e">
        <f t="shared" si="662"/>
        <v>#DIV/0!</v>
      </c>
      <c r="Y67" s="63" t="e">
        <f t="shared" si="662"/>
        <v>#DIV/0!</v>
      </c>
      <c r="AD67" s="1"/>
      <c r="AE67" s="1"/>
      <c r="AF67" s="1"/>
      <c r="AG67" s="41"/>
      <c r="AH67" s="1"/>
      <c r="AI67" s="1"/>
      <c r="AJ67" s="1"/>
      <c r="AK67" s="1"/>
      <c r="AL67" s="1"/>
      <c r="AM67" s="1"/>
      <c r="AN67" s="4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</row>
    <row r="68" spans="1:101" ht="18" customHeight="1">
      <c r="A68" s="1"/>
      <c r="B68" s="1"/>
      <c r="C68" s="1"/>
      <c r="D68" s="67" t="s">
        <v>76</v>
      </c>
      <c r="E68" s="68">
        <v>1.6E-2</v>
      </c>
      <c r="F68" s="68">
        <v>1.6E-2</v>
      </c>
      <c r="G68" s="68">
        <v>1.6E-2</v>
      </c>
      <c r="H68" s="68">
        <v>1.6E-2</v>
      </c>
      <c r="I68" s="68">
        <v>1.6E-2</v>
      </c>
      <c r="J68" s="68">
        <v>1.6E-2</v>
      </c>
      <c r="K68" s="68">
        <v>1.6E-2</v>
      </c>
      <c r="L68" s="68">
        <v>1.6E-2</v>
      </c>
      <c r="M68" s="68">
        <v>1.6E-2</v>
      </c>
      <c r="N68" s="68">
        <v>1.6E-2</v>
      </c>
      <c r="O68" s="68">
        <v>1.6E-2</v>
      </c>
      <c r="P68" s="68">
        <v>1.6E-2</v>
      </c>
      <c r="Q68" s="68">
        <v>1.6E-2</v>
      </c>
      <c r="R68" s="68">
        <v>1.6E-2</v>
      </c>
      <c r="S68" s="68">
        <v>1.6E-2</v>
      </c>
      <c r="T68" s="68">
        <v>1.6E-2</v>
      </c>
      <c r="U68" s="68">
        <v>1.6E-2</v>
      </c>
      <c r="V68" s="68">
        <v>1.6E-2</v>
      </c>
      <c r="W68" s="68">
        <v>1.6E-2</v>
      </c>
      <c r="X68" s="68">
        <v>1.6E-2</v>
      </c>
      <c r="Y68" s="68">
        <v>1.6E-2</v>
      </c>
      <c r="AD68" s="1"/>
      <c r="AE68" s="1"/>
      <c r="AF68" s="1"/>
      <c r="AG68" s="41"/>
      <c r="AH68" s="1"/>
      <c r="AI68" s="1"/>
      <c r="AJ68" s="1"/>
      <c r="AK68" s="1"/>
      <c r="AL68" s="1"/>
      <c r="AM68" s="1"/>
      <c r="AN68" s="4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</row>
    <row r="69" spans="1:101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</row>
    <row r="70" spans="1:101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</row>
    <row r="71" spans="1:101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</row>
    <row r="72" spans="1:101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</row>
    <row r="73" spans="1:101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</row>
    <row r="74" spans="1:101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</row>
    <row r="75" spans="1:101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</row>
    <row r="76" spans="1:101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</row>
    <row r="77" spans="1:101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</row>
    <row r="78" spans="1:101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</row>
    <row r="79" spans="1:101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</row>
    <row r="80" spans="1:101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</row>
    <row r="81" spans="1:98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</row>
    <row r="82" spans="1:98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</row>
    <row r="83" spans="1:98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</row>
    <row r="84" spans="1:98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</row>
    <row r="85" spans="1:98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</row>
    <row r="86" spans="1:98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</row>
    <row r="87" spans="1:98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</row>
    <row r="88" spans="1:98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</row>
    <row r="89" spans="1:98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</row>
    <row r="90" spans="1:98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</row>
    <row r="91" spans="1:98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</row>
    <row r="92" spans="1:98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</row>
    <row r="93" spans="1:98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</row>
    <row r="94" spans="1:98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</row>
    <row r="95" spans="1:98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</row>
    <row r="96" spans="1:98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</row>
    <row r="97" spans="1:98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</row>
    <row r="98" spans="1:98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</row>
    <row r="99" spans="1:98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</row>
    <row r="100" spans="1:98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</row>
    <row r="101" spans="1:98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</row>
    <row r="102" spans="1:98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</row>
    <row r="103" spans="1:98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</row>
    <row r="104" spans="1:98" ht="1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</row>
    <row r="105" spans="1:98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</row>
    <row r="106" spans="1:98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</row>
    <row r="107" spans="1:98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</row>
    <row r="108" spans="1:98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</row>
    <row r="109" spans="1:98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</row>
    <row r="110" spans="1:98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</row>
    <row r="111" spans="1:98" ht="1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</row>
    <row r="112" spans="1:98" ht="1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</row>
    <row r="113" spans="1:98" ht="1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</row>
    <row r="114" spans="1:98" ht="1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</row>
    <row r="115" spans="1:98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</row>
    <row r="116" spans="1:98" ht="1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</row>
    <row r="117" spans="1:98" ht="1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</row>
    <row r="118" spans="1:98" ht="1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</row>
    <row r="119" spans="1:98" ht="1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</row>
    <row r="120" spans="1:98" ht="1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</row>
    <row r="121" spans="1:98" ht="1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</row>
    <row r="122" spans="1:98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</row>
    <row r="123" spans="1:98" ht="1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</row>
    <row r="124" spans="1:98" ht="1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</row>
    <row r="125" spans="1:98" ht="1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</row>
    <row r="126" spans="1:98" ht="1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</row>
    <row r="127" spans="1:98" ht="1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</row>
    <row r="128" spans="1:98" ht="1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</row>
    <row r="129" spans="1:98" ht="1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</row>
    <row r="130" spans="1:98" ht="1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</row>
    <row r="131" spans="1:98" ht="1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</row>
    <row r="132" spans="1:98" ht="1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</row>
    <row r="133" spans="1:98" ht="1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</row>
    <row r="134" spans="1:98" ht="1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</row>
    <row r="135" spans="1:98" ht="1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</row>
    <row r="136" spans="1:98" ht="1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</row>
    <row r="137" spans="1:98" ht="1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</row>
    <row r="138" spans="1:98" ht="1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</row>
    <row r="139" spans="1:98" ht="1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</row>
    <row r="140" spans="1:98" ht="1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</row>
    <row r="141" spans="1:98" ht="1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</row>
    <row r="142" spans="1:98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</row>
    <row r="143" spans="1:98" ht="1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</row>
    <row r="144" spans="1:98" ht="1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</row>
    <row r="145" spans="1:98" ht="1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</row>
    <row r="146" spans="1:98" ht="1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</row>
    <row r="147" spans="1:98" ht="1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</row>
    <row r="148" spans="1:98" ht="1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</row>
    <row r="149" spans="1:98" ht="1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</row>
    <row r="150" spans="1:98" ht="1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</row>
    <row r="151" spans="1:98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</row>
    <row r="152" spans="1:98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</row>
    <row r="153" spans="1:98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</row>
    <row r="154" spans="1:98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</row>
    <row r="155" spans="1:98" ht="1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</row>
    <row r="156" spans="1:98" ht="1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</row>
    <row r="157" spans="1:98" ht="1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</row>
    <row r="158" spans="1:98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</row>
    <row r="159" spans="1:98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</row>
    <row r="160" spans="1:98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</row>
    <row r="161" spans="1:98" ht="1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</row>
    <row r="162" spans="1:98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</row>
    <row r="163" spans="1:98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</row>
    <row r="164" spans="1:98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</row>
    <row r="165" spans="1:98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</row>
    <row r="166" spans="1:98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</row>
    <row r="167" spans="1:98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</row>
    <row r="168" spans="1:98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</row>
    <row r="169" spans="1:98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</row>
    <row r="170" spans="1:98" ht="1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</row>
    <row r="171" spans="1:98" ht="1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</row>
    <row r="172" spans="1:98" ht="1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</row>
    <row r="173" spans="1:98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</row>
    <row r="174" spans="1:98" ht="1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</row>
    <row r="175" spans="1:98" ht="1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</row>
    <row r="176" spans="1:98" ht="1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</row>
    <row r="177" spans="1:98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</row>
    <row r="178" spans="1:98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</row>
    <row r="179" spans="1:98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</row>
    <row r="180" spans="1:98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</row>
    <row r="181" spans="1:98" ht="1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</row>
    <row r="182" spans="1:98" ht="1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</row>
    <row r="183" spans="1:98" ht="1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</row>
    <row r="184" spans="1:98" ht="1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</row>
    <row r="185" spans="1:98" ht="1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</row>
    <row r="186" spans="1:98" ht="1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</row>
    <row r="187" spans="1:98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</row>
    <row r="188" spans="1:98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</row>
    <row r="189" spans="1:98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</row>
    <row r="190" spans="1:98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</row>
    <row r="191" spans="1:98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</row>
    <row r="192" spans="1:98" ht="1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</row>
    <row r="193" spans="1:98" ht="1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</row>
    <row r="194" spans="1:98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</row>
    <row r="195" spans="1:98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</row>
    <row r="196" spans="1:98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</row>
    <row r="197" spans="1:98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</row>
    <row r="198" spans="1:98" ht="1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</row>
    <row r="199" spans="1:98" ht="1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</row>
    <row r="200" spans="1:98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</row>
    <row r="201" spans="1:98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</row>
    <row r="202" spans="1:98" ht="1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</row>
    <row r="203" spans="1:98" ht="1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</row>
    <row r="204" spans="1:98" ht="1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</row>
    <row r="205" spans="1:98" ht="1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</row>
    <row r="206" spans="1:98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</row>
    <row r="207" spans="1:98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</row>
    <row r="208" spans="1:98" ht="18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</row>
    <row r="209" spans="1:98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</row>
    <row r="210" spans="1:98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</row>
    <row r="211" spans="1:98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</row>
    <row r="212" spans="1:98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</row>
    <row r="213" spans="1:98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</row>
    <row r="214" spans="1:98" ht="1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</row>
    <row r="215" spans="1:98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</row>
    <row r="216" spans="1:98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</row>
    <row r="217" spans="1:98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</row>
    <row r="218" spans="1:98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</row>
    <row r="219" spans="1:98" ht="1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</row>
    <row r="220" spans="1:98" ht="18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</row>
    <row r="221" spans="1:98" ht="18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</row>
    <row r="222" spans="1:98" ht="1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</row>
    <row r="223" spans="1:98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</row>
    <row r="224" spans="1:98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</row>
    <row r="225" spans="1:98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</row>
    <row r="226" spans="1:98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</row>
    <row r="227" spans="1:98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</row>
    <row r="228" spans="1:98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</row>
    <row r="229" spans="1:98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</row>
    <row r="230" spans="1:98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</row>
    <row r="231" spans="1:98" ht="18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</row>
    <row r="232" spans="1:98" ht="18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</row>
    <row r="233" spans="1:98" ht="18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</row>
    <row r="234" spans="1:98" ht="1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</row>
    <row r="235" spans="1:98" ht="1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</row>
    <row r="236" spans="1:98" ht="18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</row>
    <row r="237" spans="1:98" ht="1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</row>
    <row r="238" spans="1:98" ht="18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</row>
    <row r="239" spans="1:98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</row>
    <row r="240" spans="1:98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</row>
    <row r="241" spans="1:98" ht="1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</row>
    <row r="242" spans="1:98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</row>
    <row r="243" spans="1:98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</row>
    <row r="244" spans="1:98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</row>
    <row r="245" spans="1:98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</row>
    <row r="246" spans="1:98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</row>
    <row r="247" spans="1:98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</row>
    <row r="248" spans="1:98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</row>
    <row r="249" spans="1:98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</row>
    <row r="250" spans="1:98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</row>
    <row r="251" spans="1:98" ht="1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</row>
    <row r="252" spans="1:98" ht="1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</row>
    <row r="253" spans="1:98" ht="18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</row>
    <row r="254" spans="1:98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</row>
    <row r="255" spans="1:98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</row>
    <row r="256" spans="1:98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</row>
    <row r="257" spans="1:98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</row>
    <row r="258" spans="1:98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</row>
    <row r="259" spans="1:98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</row>
    <row r="260" spans="1:98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</row>
    <row r="261" spans="1:98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</row>
    <row r="262" spans="1:98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</row>
    <row r="263" spans="1:98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</row>
    <row r="264" spans="1:98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</row>
    <row r="265" spans="1:98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</row>
    <row r="266" spans="1:98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</row>
    <row r="267" spans="1:98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</row>
    <row r="268" spans="1:98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</row>
    <row r="269" spans="1:98" ht="18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</row>
    <row r="270" spans="1:98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</row>
    <row r="271" spans="1:98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</row>
    <row r="272" spans="1:98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</row>
    <row r="273" spans="1:98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</row>
    <row r="274" spans="1:98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</row>
    <row r="275" spans="1:98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</row>
    <row r="276" spans="1:98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</row>
    <row r="277" spans="1:98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</row>
    <row r="278" spans="1:98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</row>
    <row r="279" spans="1:98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</row>
    <row r="280" spans="1:98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</row>
    <row r="281" spans="1:98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</row>
    <row r="282" spans="1:98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</row>
    <row r="283" spans="1:98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</row>
    <row r="284" spans="1:98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</row>
    <row r="285" spans="1:98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</row>
    <row r="286" spans="1:98" ht="1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</row>
    <row r="287" spans="1:98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</row>
    <row r="288" spans="1:98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</row>
    <row r="289" spans="1:98" ht="1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</row>
    <row r="290" spans="1:98" ht="18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</row>
    <row r="291" spans="1:98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</row>
    <row r="292" spans="1:98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</row>
    <row r="293" spans="1:98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</row>
    <row r="294" spans="1:98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</row>
    <row r="295" spans="1:98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</row>
    <row r="296" spans="1:98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</row>
    <row r="297" spans="1:98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</row>
    <row r="298" spans="1:98" ht="18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</row>
    <row r="299" spans="1:98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</row>
    <row r="300" spans="1:98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</row>
    <row r="301" spans="1:98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</row>
    <row r="302" spans="1:98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</row>
    <row r="303" spans="1:98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</row>
    <row r="304" spans="1:98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</row>
    <row r="305" spans="1:98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</row>
    <row r="306" spans="1:98" ht="1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</row>
    <row r="307" spans="1:98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</row>
    <row r="308" spans="1:98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</row>
    <row r="309" spans="1:98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</row>
    <row r="310" spans="1:98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</row>
    <row r="311" spans="1:98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</row>
    <row r="312" spans="1:98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</row>
    <row r="313" spans="1:98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</row>
    <row r="314" spans="1:98" ht="18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</row>
    <row r="315" spans="1:98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</row>
    <row r="316" spans="1:98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</row>
    <row r="317" spans="1:98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</row>
    <row r="318" spans="1:98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</row>
    <row r="319" spans="1:98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</row>
    <row r="320" spans="1:98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</row>
    <row r="321" spans="1:98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</row>
    <row r="322" spans="1:98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</row>
    <row r="323" spans="1:98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</row>
    <row r="324" spans="1:98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</row>
    <row r="325" spans="1:98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</row>
    <row r="326" spans="1:98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</row>
    <row r="327" spans="1:98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</row>
    <row r="328" spans="1:98" ht="18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</row>
    <row r="329" spans="1:98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</row>
    <row r="330" spans="1:98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</row>
    <row r="331" spans="1:98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</row>
    <row r="332" spans="1:98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</row>
    <row r="333" spans="1:98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</row>
    <row r="334" spans="1:98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</row>
    <row r="335" spans="1:98" ht="1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</row>
    <row r="336" spans="1:98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</row>
    <row r="337" spans="1:98" ht="1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</row>
    <row r="338" spans="1:98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</row>
    <row r="339" spans="1:98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</row>
    <row r="340" spans="1:98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</row>
    <row r="341" spans="1:98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</row>
    <row r="342" spans="1:98" ht="1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</row>
    <row r="343" spans="1:98" ht="1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</row>
    <row r="344" spans="1:98" ht="18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</row>
    <row r="345" spans="1:98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</row>
    <row r="346" spans="1:98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</row>
    <row r="347" spans="1:98" ht="1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</row>
    <row r="348" spans="1:98" ht="1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</row>
    <row r="349" spans="1:98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</row>
    <row r="350" spans="1:98" ht="18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</row>
    <row r="351" spans="1:98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</row>
    <row r="352" spans="1:98" ht="1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</row>
    <row r="353" spans="1:98" ht="18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</row>
    <row r="354" spans="1:98" ht="1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</row>
    <row r="355" spans="1:98" ht="1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</row>
    <row r="356" spans="1:98" ht="1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</row>
    <row r="357" spans="1:98" ht="18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</row>
    <row r="358" spans="1:98" ht="1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</row>
    <row r="359" spans="1:98" ht="1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</row>
    <row r="360" spans="1:98" ht="18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</row>
    <row r="361" spans="1:98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</row>
    <row r="362" spans="1:98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</row>
    <row r="363" spans="1:98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</row>
    <row r="364" spans="1:98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</row>
    <row r="365" spans="1:98" ht="18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</row>
    <row r="366" spans="1:98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</row>
    <row r="367" spans="1:98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</row>
    <row r="368" spans="1:98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</row>
    <row r="369" spans="1:98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</row>
    <row r="370" spans="1:98" ht="18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</row>
    <row r="371" spans="1:98" ht="1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</row>
    <row r="372" spans="1:98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</row>
    <row r="373" spans="1:98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</row>
    <row r="374" spans="1:98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</row>
    <row r="375" spans="1:98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</row>
    <row r="376" spans="1:98" ht="18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</row>
    <row r="377" spans="1:98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</row>
    <row r="378" spans="1:98" ht="1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</row>
    <row r="379" spans="1:98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</row>
    <row r="380" spans="1:98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</row>
    <row r="381" spans="1:98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</row>
    <row r="382" spans="1:98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</row>
    <row r="383" spans="1:98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</row>
    <row r="384" spans="1:98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</row>
    <row r="385" spans="1:98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</row>
    <row r="386" spans="1:98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</row>
    <row r="387" spans="1:98" ht="1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</row>
    <row r="388" spans="1:98" ht="1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</row>
    <row r="389" spans="1:98" ht="18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</row>
    <row r="390" spans="1:98" ht="1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</row>
    <row r="391" spans="1:98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</row>
    <row r="392" spans="1:98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</row>
    <row r="393" spans="1:98" ht="1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</row>
    <row r="394" spans="1:98" ht="1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</row>
    <row r="395" spans="1:98" ht="18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</row>
    <row r="396" spans="1:98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</row>
    <row r="397" spans="1:98" ht="18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</row>
    <row r="398" spans="1:98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</row>
    <row r="399" spans="1:98" ht="1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</row>
    <row r="400" spans="1:98" ht="1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</row>
    <row r="401" spans="1:98" ht="18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</row>
    <row r="402" spans="1:98" ht="1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</row>
    <row r="403" spans="1:98" ht="18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</row>
    <row r="404" spans="1:98" ht="18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</row>
    <row r="405" spans="1:98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</row>
    <row r="406" spans="1:98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</row>
    <row r="407" spans="1:98" ht="1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</row>
    <row r="408" spans="1:98" ht="18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</row>
    <row r="409" spans="1:98" ht="1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</row>
    <row r="410" spans="1:98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</row>
    <row r="411" spans="1:98" ht="1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</row>
    <row r="412" spans="1:98" ht="18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</row>
    <row r="413" spans="1:98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</row>
    <row r="414" spans="1:98" ht="18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</row>
    <row r="415" spans="1:98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</row>
    <row r="416" spans="1:98" ht="18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</row>
    <row r="417" spans="1:98" ht="1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</row>
    <row r="418" spans="1:98" ht="1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</row>
    <row r="419" spans="1:98" ht="18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</row>
    <row r="420" spans="1:98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</row>
    <row r="421" spans="1:98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</row>
    <row r="422" spans="1:98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</row>
    <row r="423" spans="1:98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</row>
    <row r="424" spans="1:98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</row>
    <row r="425" spans="1:98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</row>
    <row r="426" spans="1:98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</row>
    <row r="427" spans="1:98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</row>
    <row r="428" spans="1:98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</row>
    <row r="429" spans="1:98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</row>
    <row r="430" spans="1:98" ht="1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</row>
    <row r="431" spans="1:98" ht="1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</row>
    <row r="432" spans="1:98" ht="1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</row>
    <row r="433" spans="1:98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</row>
    <row r="434" spans="1:98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</row>
    <row r="435" spans="1:98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</row>
    <row r="436" spans="1:98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</row>
    <row r="437" spans="1:98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</row>
    <row r="438" spans="1:98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</row>
    <row r="439" spans="1:98" ht="1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</row>
    <row r="440" spans="1:98" ht="18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</row>
    <row r="441" spans="1:98" ht="18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</row>
    <row r="442" spans="1:98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</row>
    <row r="443" spans="1:98" ht="1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</row>
    <row r="444" spans="1:98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</row>
    <row r="445" spans="1:98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</row>
    <row r="446" spans="1:98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</row>
    <row r="447" spans="1:98" ht="18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</row>
    <row r="448" spans="1:98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</row>
    <row r="449" spans="1:98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</row>
    <row r="450" spans="1:98" ht="18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</row>
    <row r="451" spans="1:98" ht="18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</row>
    <row r="452" spans="1:98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</row>
    <row r="453" spans="1:98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</row>
    <row r="454" spans="1:98" ht="1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</row>
    <row r="455" spans="1:98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</row>
    <row r="456" spans="1:98" ht="1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</row>
    <row r="457" spans="1:98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</row>
    <row r="458" spans="1:98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</row>
    <row r="459" spans="1:98" ht="18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</row>
    <row r="460" spans="1:98" ht="18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</row>
    <row r="461" spans="1:98" ht="18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</row>
    <row r="462" spans="1:98" ht="18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</row>
    <row r="463" spans="1:98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</row>
    <row r="464" spans="1:98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</row>
    <row r="465" spans="1:98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</row>
    <row r="466" spans="1:98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</row>
    <row r="467" spans="1:98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</row>
    <row r="468" spans="1:98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</row>
    <row r="469" spans="1:98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</row>
    <row r="470" spans="1:98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</row>
    <row r="471" spans="1:98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</row>
    <row r="472" spans="1:98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</row>
    <row r="473" spans="1:98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</row>
    <row r="474" spans="1:98" ht="18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</row>
    <row r="475" spans="1:98" ht="1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</row>
    <row r="476" spans="1:98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</row>
    <row r="477" spans="1:98" ht="18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</row>
    <row r="478" spans="1:98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</row>
    <row r="479" spans="1:98" ht="1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</row>
    <row r="480" spans="1:98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</row>
    <row r="481" spans="1:98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</row>
    <row r="482" spans="1:98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</row>
    <row r="483" spans="1:98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</row>
    <row r="484" spans="1:98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</row>
    <row r="485" spans="1:98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</row>
    <row r="486" spans="1:98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</row>
    <row r="487" spans="1:98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</row>
    <row r="488" spans="1:98" ht="18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</row>
    <row r="489" spans="1:98" ht="18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</row>
    <row r="490" spans="1:98" ht="1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</row>
    <row r="491" spans="1:98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</row>
    <row r="492" spans="1:98" ht="1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</row>
    <row r="493" spans="1:98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</row>
    <row r="494" spans="1:98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</row>
    <row r="495" spans="1:98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</row>
    <row r="496" spans="1:98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</row>
    <row r="497" spans="1:98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</row>
    <row r="498" spans="1:98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</row>
    <row r="499" spans="1:98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</row>
    <row r="500" spans="1:98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</row>
    <row r="501" spans="1:98" ht="1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</row>
    <row r="502" spans="1:98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</row>
    <row r="503" spans="1:98" ht="1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</row>
    <row r="504" spans="1:98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</row>
    <row r="505" spans="1:98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</row>
    <row r="506" spans="1:98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</row>
    <row r="507" spans="1:98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</row>
    <row r="508" spans="1:98" ht="1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</row>
    <row r="509" spans="1:98" ht="18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</row>
    <row r="510" spans="1:98" ht="1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</row>
    <row r="511" spans="1:98" ht="18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</row>
    <row r="512" spans="1:98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</row>
    <row r="513" spans="1:98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</row>
    <row r="514" spans="1:98" ht="18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</row>
    <row r="515" spans="1:98" ht="1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</row>
    <row r="516" spans="1:98" ht="1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</row>
    <row r="517" spans="1:98" ht="18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</row>
    <row r="518" spans="1:98" ht="1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</row>
    <row r="519" spans="1:98" ht="18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</row>
    <row r="520" spans="1:98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</row>
    <row r="521" spans="1:98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</row>
    <row r="522" spans="1:98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</row>
    <row r="523" spans="1:98" ht="1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</row>
    <row r="524" spans="1:98" ht="18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</row>
    <row r="525" spans="1:98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</row>
    <row r="526" spans="1:98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</row>
    <row r="527" spans="1:98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</row>
    <row r="528" spans="1:98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</row>
    <row r="529" spans="1:98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</row>
    <row r="530" spans="1:98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</row>
    <row r="531" spans="1:98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</row>
    <row r="532" spans="1:98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</row>
    <row r="533" spans="1:98" ht="1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</row>
    <row r="534" spans="1:98" ht="18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</row>
    <row r="535" spans="1:98" ht="1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</row>
    <row r="536" spans="1:98" ht="1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</row>
    <row r="537" spans="1:98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</row>
    <row r="538" spans="1:98" ht="1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</row>
    <row r="539" spans="1:98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</row>
    <row r="540" spans="1:98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</row>
    <row r="541" spans="1:98" ht="1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</row>
    <row r="542" spans="1:98" ht="1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</row>
    <row r="543" spans="1:98" ht="1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</row>
    <row r="544" spans="1:98" ht="18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</row>
    <row r="545" spans="1:98" ht="18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</row>
    <row r="546" spans="1:98" ht="1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</row>
    <row r="547" spans="1:98" ht="1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</row>
    <row r="548" spans="1:98" ht="18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</row>
    <row r="549" spans="1:98" ht="1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</row>
    <row r="550" spans="1:98" ht="18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</row>
    <row r="551" spans="1:98" ht="1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</row>
    <row r="552" spans="1:98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</row>
    <row r="553" spans="1:98" ht="1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</row>
    <row r="554" spans="1:98" ht="1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</row>
    <row r="555" spans="1:98" ht="18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</row>
    <row r="556" spans="1:98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</row>
    <row r="557" spans="1:98" ht="18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</row>
    <row r="558" spans="1:98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</row>
    <row r="559" spans="1:98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</row>
    <row r="560" spans="1:98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</row>
    <row r="561" spans="1:98" ht="18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</row>
    <row r="562" spans="1:98" ht="1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</row>
    <row r="563" spans="1:98" ht="18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</row>
    <row r="564" spans="1:98" ht="18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</row>
    <row r="565" spans="1:98" ht="18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</row>
    <row r="566" spans="1:98" ht="18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</row>
    <row r="567" spans="1:98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</row>
    <row r="568" spans="1:98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</row>
    <row r="569" spans="1:98" ht="1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</row>
    <row r="570" spans="1:98" ht="1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</row>
    <row r="571" spans="1:98" ht="1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</row>
    <row r="572" spans="1:98" ht="1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</row>
    <row r="573" spans="1:98" ht="18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</row>
    <row r="574" spans="1:98" ht="1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</row>
    <row r="575" spans="1:98" ht="1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</row>
    <row r="576" spans="1:98" ht="1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</row>
    <row r="577" spans="1:98" ht="1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</row>
    <row r="578" spans="1:98" ht="1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</row>
    <row r="579" spans="1:98" ht="1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</row>
    <row r="580" spans="1:98" ht="1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</row>
    <row r="581" spans="1:98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</row>
    <row r="582" spans="1:98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</row>
    <row r="583" spans="1:98" ht="18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</row>
    <row r="584" spans="1:98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</row>
    <row r="585" spans="1:98" ht="1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</row>
    <row r="586" spans="1:98" ht="1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</row>
    <row r="587" spans="1:98" ht="1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</row>
    <row r="588" spans="1:98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</row>
    <row r="589" spans="1:98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</row>
    <row r="590" spans="1:98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</row>
    <row r="591" spans="1:98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</row>
    <row r="592" spans="1:98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</row>
    <row r="593" spans="1:98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</row>
    <row r="594" spans="1:98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</row>
    <row r="595" spans="1:98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</row>
    <row r="596" spans="1:98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</row>
    <row r="597" spans="1:98" ht="18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</row>
    <row r="598" spans="1:98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</row>
    <row r="599" spans="1:98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</row>
    <row r="600" spans="1:98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</row>
    <row r="601" spans="1:98" ht="18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</row>
    <row r="602" spans="1:98" ht="1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</row>
    <row r="603" spans="1:98" ht="1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</row>
    <row r="604" spans="1:98" ht="1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</row>
    <row r="605" spans="1:98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</row>
    <row r="606" spans="1:98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</row>
    <row r="607" spans="1:98" ht="18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</row>
    <row r="608" spans="1:98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</row>
    <row r="609" spans="1:98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</row>
    <row r="610" spans="1:98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</row>
    <row r="611" spans="1:98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</row>
    <row r="612" spans="1:98" ht="1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</row>
    <row r="613" spans="1:98" ht="18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</row>
    <row r="614" spans="1:98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</row>
    <row r="615" spans="1:98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</row>
    <row r="616" spans="1:98" ht="1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</row>
    <row r="617" spans="1:98" ht="1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</row>
    <row r="618" spans="1:98" ht="1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</row>
    <row r="619" spans="1:98" ht="1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</row>
    <row r="620" spans="1:98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</row>
    <row r="621" spans="1:98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</row>
    <row r="622" spans="1:98" ht="18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</row>
    <row r="623" spans="1:98" ht="1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</row>
    <row r="624" spans="1:98" ht="1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</row>
    <row r="625" spans="1:98" ht="1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</row>
    <row r="626" spans="1:98" ht="18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</row>
    <row r="627" spans="1:98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</row>
    <row r="628" spans="1:98" ht="1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</row>
    <row r="629" spans="1:98" ht="18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</row>
    <row r="630" spans="1:98" ht="1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</row>
    <row r="631" spans="1:98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</row>
    <row r="632" spans="1:98" ht="1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</row>
    <row r="633" spans="1:98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</row>
    <row r="634" spans="1:98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</row>
    <row r="635" spans="1:98" ht="18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</row>
    <row r="636" spans="1:98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</row>
    <row r="637" spans="1:98" ht="1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</row>
    <row r="638" spans="1:98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</row>
    <row r="639" spans="1:98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</row>
    <row r="640" spans="1:98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</row>
    <row r="641" spans="1:98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</row>
    <row r="642" spans="1:98" ht="1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</row>
    <row r="643" spans="1:98" ht="18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</row>
    <row r="644" spans="1:98" ht="18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</row>
    <row r="645" spans="1:98" ht="18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</row>
    <row r="646" spans="1:98" ht="18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</row>
    <row r="647" spans="1:98" ht="1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</row>
    <row r="648" spans="1:98" ht="1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</row>
    <row r="649" spans="1:98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</row>
    <row r="650" spans="1:98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</row>
    <row r="651" spans="1:98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</row>
    <row r="652" spans="1:98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</row>
    <row r="653" spans="1:98" ht="1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</row>
    <row r="654" spans="1:98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</row>
    <row r="655" spans="1:98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</row>
    <row r="656" spans="1:98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</row>
    <row r="657" spans="1:98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</row>
    <row r="658" spans="1:98" ht="1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</row>
    <row r="659" spans="1:98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</row>
    <row r="660" spans="1:98" ht="18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</row>
    <row r="661" spans="1:98" ht="18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</row>
    <row r="662" spans="1:98" ht="1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</row>
    <row r="663" spans="1:98" ht="18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</row>
    <row r="664" spans="1:98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</row>
    <row r="665" spans="1:98" ht="18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</row>
    <row r="666" spans="1:98" ht="1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</row>
    <row r="667" spans="1:98" ht="1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</row>
    <row r="668" spans="1:98" ht="1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</row>
    <row r="669" spans="1:98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</row>
    <row r="670" spans="1:98" ht="1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</row>
    <row r="671" spans="1:98" ht="1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</row>
    <row r="672" spans="1:98" ht="1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</row>
    <row r="673" spans="1:98" ht="1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</row>
    <row r="674" spans="1:98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</row>
    <row r="675" spans="1:98" ht="1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</row>
    <row r="676" spans="1:98" ht="18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</row>
    <row r="677" spans="1:98" ht="1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</row>
    <row r="678" spans="1:98" ht="18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</row>
    <row r="679" spans="1:98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</row>
    <row r="680" spans="1:98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</row>
    <row r="681" spans="1:98" ht="1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</row>
    <row r="682" spans="1:98" ht="1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</row>
    <row r="683" spans="1:98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</row>
    <row r="684" spans="1:98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</row>
    <row r="685" spans="1:98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</row>
    <row r="686" spans="1:98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</row>
    <row r="687" spans="1:98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</row>
    <row r="688" spans="1:98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</row>
    <row r="689" spans="1:98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</row>
    <row r="690" spans="1:98" ht="1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</row>
    <row r="691" spans="1:98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</row>
    <row r="692" spans="1:98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</row>
    <row r="693" spans="1:98" ht="18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</row>
    <row r="694" spans="1:98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</row>
    <row r="695" spans="1:98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</row>
    <row r="696" spans="1:98" ht="1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</row>
    <row r="697" spans="1:98" ht="18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</row>
    <row r="698" spans="1:98" ht="18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</row>
    <row r="699" spans="1:98" ht="1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</row>
    <row r="700" spans="1:98" ht="18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</row>
    <row r="701" spans="1:98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</row>
    <row r="702" spans="1:98" ht="1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</row>
    <row r="703" spans="1:98" ht="1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</row>
    <row r="704" spans="1:98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</row>
    <row r="705" spans="1:98" ht="1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</row>
    <row r="706" spans="1:98" ht="18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</row>
    <row r="707" spans="1:98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</row>
    <row r="708" spans="1:98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</row>
    <row r="709" spans="1:98" ht="1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</row>
    <row r="710" spans="1:98" ht="18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</row>
    <row r="711" spans="1:98" ht="18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</row>
    <row r="712" spans="1:98" ht="18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</row>
    <row r="713" spans="1:98" ht="18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</row>
    <row r="714" spans="1:98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</row>
    <row r="715" spans="1:98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</row>
    <row r="716" spans="1:98" ht="1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</row>
    <row r="717" spans="1:98" ht="1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</row>
    <row r="718" spans="1:98" ht="18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</row>
    <row r="719" spans="1:98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</row>
    <row r="720" spans="1:98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</row>
    <row r="721" spans="1:98" ht="1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</row>
    <row r="722" spans="1:98" ht="1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</row>
    <row r="723" spans="1:98" ht="1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</row>
    <row r="724" spans="1:98" ht="18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</row>
    <row r="725" spans="1:98" ht="1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</row>
    <row r="726" spans="1:98" ht="18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</row>
    <row r="727" spans="1:98" ht="1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</row>
    <row r="728" spans="1:98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</row>
    <row r="729" spans="1:98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</row>
    <row r="730" spans="1:98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</row>
    <row r="731" spans="1:98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</row>
    <row r="732" spans="1:98" ht="1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</row>
    <row r="733" spans="1:98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</row>
    <row r="734" spans="1:98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</row>
    <row r="735" spans="1:98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</row>
    <row r="736" spans="1:98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</row>
    <row r="737" spans="1:98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</row>
    <row r="738" spans="1:98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</row>
    <row r="739" spans="1:98" ht="18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</row>
    <row r="740" spans="1:98" ht="18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</row>
    <row r="741" spans="1:98" ht="1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</row>
    <row r="742" spans="1:98" ht="1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</row>
    <row r="743" spans="1:98" ht="1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</row>
    <row r="744" spans="1:98" ht="1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</row>
    <row r="745" spans="1:98" ht="18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</row>
    <row r="746" spans="1:98" ht="1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</row>
    <row r="747" spans="1:98" ht="18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</row>
    <row r="748" spans="1:98" ht="18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</row>
    <row r="749" spans="1:98" ht="18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</row>
    <row r="750" spans="1:98" ht="18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</row>
    <row r="751" spans="1:98" ht="18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</row>
    <row r="752" spans="1:98" ht="1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</row>
    <row r="753" spans="1:98" ht="18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</row>
    <row r="754" spans="1:98" ht="1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</row>
    <row r="755" spans="1:98" ht="1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</row>
    <row r="756" spans="1:98" ht="1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</row>
    <row r="757" spans="1:98" ht="1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</row>
    <row r="758" spans="1:98" ht="18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</row>
    <row r="759" spans="1:98" ht="1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</row>
    <row r="760" spans="1:98" ht="18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</row>
    <row r="761" spans="1:98" ht="1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</row>
    <row r="762" spans="1:98" ht="1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</row>
    <row r="763" spans="1:98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</row>
    <row r="764" spans="1:98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</row>
    <row r="765" spans="1:98" ht="1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</row>
    <row r="766" spans="1:98" ht="1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</row>
    <row r="767" spans="1:98" ht="1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</row>
    <row r="768" spans="1:98" ht="18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</row>
    <row r="769" spans="1:98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</row>
    <row r="770" spans="1:98" ht="18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</row>
    <row r="771" spans="1:98" ht="1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</row>
    <row r="772" spans="1:98" ht="18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</row>
    <row r="773" spans="1:98" ht="18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</row>
    <row r="774" spans="1:98" ht="18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</row>
    <row r="775" spans="1:98" ht="1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</row>
    <row r="776" spans="1:98" ht="1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</row>
    <row r="777" spans="1:98" ht="1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</row>
    <row r="778" spans="1:98" ht="1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</row>
    <row r="779" spans="1:98" ht="18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</row>
    <row r="780" spans="1:98" ht="18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</row>
    <row r="781" spans="1:98" ht="1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</row>
    <row r="782" spans="1:98" ht="1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</row>
    <row r="783" spans="1:98" ht="1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</row>
    <row r="784" spans="1:98" ht="18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</row>
    <row r="785" spans="1:98" ht="18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</row>
    <row r="786" spans="1:98" ht="18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</row>
    <row r="787" spans="1:98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</row>
    <row r="788" spans="1:98" ht="18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</row>
    <row r="789" spans="1:98" ht="18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</row>
    <row r="790" spans="1:98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</row>
    <row r="791" spans="1:98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</row>
    <row r="792" spans="1:98" ht="18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</row>
    <row r="793" spans="1:98" ht="1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</row>
    <row r="794" spans="1:98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</row>
    <row r="795" spans="1:98" ht="18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</row>
    <row r="796" spans="1:98" ht="1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</row>
    <row r="797" spans="1:98" ht="18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</row>
    <row r="798" spans="1:98" ht="18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</row>
    <row r="799" spans="1:98" ht="18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</row>
    <row r="800" spans="1:98" ht="18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</row>
    <row r="801" spans="1:98" ht="1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</row>
    <row r="802" spans="1:98" ht="18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</row>
    <row r="803" spans="1:98" ht="1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</row>
    <row r="804" spans="1:98" ht="18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</row>
    <row r="805" spans="1:98" ht="1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</row>
    <row r="806" spans="1:98" ht="1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</row>
    <row r="807" spans="1:98" ht="1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</row>
    <row r="808" spans="1:98" ht="18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</row>
    <row r="809" spans="1:98" ht="1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</row>
    <row r="810" spans="1:98" ht="1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</row>
    <row r="811" spans="1:98" ht="18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</row>
    <row r="812" spans="1:98" ht="1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</row>
    <row r="813" spans="1:98" ht="18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</row>
    <row r="814" spans="1:98" ht="18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</row>
    <row r="815" spans="1:98" ht="1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</row>
    <row r="816" spans="1:98" ht="18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</row>
    <row r="817" spans="1:98" ht="1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</row>
    <row r="818" spans="1:98" ht="1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</row>
    <row r="819" spans="1:98" ht="1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</row>
    <row r="820" spans="1:98" ht="1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</row>
    <row r="821" spans="1:98" ht="1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</row>
    <row r="822" spans="1:98" ht="1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</row>
    <row r="823" spans="1:98" ht="1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</row>
    <row r="824" spans="1:98" ht="18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</row>
    <row r="825" spans="1:98" ht="18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</row>
    <row r="826" spans="1:98" ht="18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</row>
    <row r="827" spans="1:98" ht="18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</row>
    <row r="828" spans="1:98" ht="18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</row>
    <row r="829" spans="1:98" ht="1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</row>
    <row r="830" spans="1:98" ht="18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</row>
    <row r="831" spans="1:98" ht="18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</row>
    <row r="832" spans="1:98" ht="18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</row>
    <row r="833" spans="1:98" ht="1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</row>
    <row r="834" spans="1:98" ht="18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</row>
    <row r="835" spans="1:98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</row>
    <row r="836" spans="1:98" ht="18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</row>
    <row r="837" spans="1:98" ht="1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</row>
    <row r="838" spans="1:98" ht="18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</row>
    <row r="839" spans="1:98" ht="18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</row>
    <row r="840" spans="1:98" ht="1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</row>
    <row r="841" spans="1:98" ht="18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</row>
    <row r="842" spans="1:98" ht="1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</row>
    <row r="843" spans="1:98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</row>
    <row r="844" spans="1:98" ht="18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</row>
    <row r="845" spans="1:98" ht="1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</row>
    <row r="846" spans="1:98" ht="18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</row>
    <row r="847" spans="1:98" ht="18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</row>
    <row r="848" spans="1:98" ht="1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</row>
    <row r="849" spans="1:98" ht="18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</row>
    <row r="850" spans="1:98" ht="1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</row>
    <row r="851" spans="1:98" ht="1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</row>
    <row r="852" spans="1:98" ht="18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</row>
    <row r="853" spans="1:98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</row>
    <row r="854" spans="1:98" ht="18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</row>
    <row r="855" spans="1:98" ht="1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</row>
    <row r="856" spans="1:98" ht="1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</row>
    <row r="857" spans="1:98" ht="18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</row>
    <row r="858" spans="1:98" ht="1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</row>
    <row r="859" spans="1:98" ht="1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</row>
    <row r="860" spans="1:98" ht="1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</row>
    <row r="861" spans="1:98" ht="1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</row>
    <row r="862" spans="1:98" ht="18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</row>
    <row r="863" spans="1:98" ht="1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</row>
    <row r="864" spans="1:98" ht="18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</row>
    <row r="865" spans="1:98" ht="1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</row>
    <row r="866" spans="1:98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</row>
    <row r="867" spans="1:98" ht="1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</row>
    <row r="868" spans="1:98" ht="18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</row>
    <row r="869" spans="1:98" ht="18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</row>
    <row r="870" spans="1:98" ht="1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</row>
    <row r="871" spans="1:98" ht="1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</row>
    <row r="872" spans="1:98" ht="1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</row>
    <row r="873" spans="1:98" ht="1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</row>
    <row r="874" spans="1:98" ht="1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</row>
    <row r="875" spans="1:98" ht="1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</row>
    <row r="876" spans="1:98" ht="1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</row>
    <row r="877" spans="1:98" ht="1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</row>
    <row r="878" spans="1:98" ht="18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</row>
    <row r="879" spans="1:98" ht="1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</row>
    <row r="880" spans="1:98" ht="18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</row>
    <row r="881" spans="1:98" ht="1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</row>
    <row r="882" spans="1:98" ht="1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</row>
    <row r="883" spans="1:98" ht="18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</row>
    <row r="884" spans="1:98" ht="1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</row>
    <row r="885" spans="1:98" ht="1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</row>
    <row r="886" spans="1:98" ht="1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</row>
    <row r="887" spans="1:98" ht="1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</row>
    <row r="888" spans="1:98" ht="1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</row>
    <row r="889" spans="1:98" ht="18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</row>
    <row r="890" spans="1:98" ht="1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</row>
    <row r="891" spans="1:98" ht="18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</row>
    <row r="892" spans="1:98" ht="1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</row>
    <row r="893" spans="1:98" ht="1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</row>
    <row r="894" spans="1:98" ht="1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</row>
    <row r="895" spans="1:98" ht="1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</row>
    <row r="896" spans="1:98" ht="18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</row>
    <row r="897" spans="1:98" ht="1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</row>
    <row r="898" spans="1:98" ht="1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</row>
    <row r="899" spans="1:98" ht="18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</row>
    <row r="900" spans="1:98" ht="1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</row>
    <row r="901" spans="1:98" ht="18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</row>
    <row r="902" spans="1:98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</row>
    <row r="903" spans="1:98" ht="1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</row>
    <row r="904" spans="1:98" ht="1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</row>
    <row r="905" spans="1:98" ht="18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</row>
    <row r="906" spans="1:98" ht="1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</row>
    <row r="907" spans="1:98" ht="18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</row>
    <row r="908" spans="1:98" ht="1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</row>
    <row r="909" spans="1:98" ht="1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</row>
    <row r="910" spans="1:98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</row>
    <row r="911" spans="1:98" ht="1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</row>
    <row r="912" spans="1:98" ht="18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</row>
    <row r="913" spans="1:98" ht="1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</row>
    <row r="914" spans="1:98" ht="18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</row>
    <row r="915" spans="1:98" ht="18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</row>
    <row r="916" spans="1:98" ht="18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</row>
    <row r="917" spans="1:98" ht="1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</row>
    <row r="918" spans="1:98" ht="1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</row>
    <row r="919" spans="1:98" ht="18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</row>
    <row r="920" spans="1:98" ht="1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</row>
    <row r="921" spans="1:98" ht="1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</row>
    <row r="922" spans="1:98" ht="1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</row>
    <row r="923" spans="1:98" ht="1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</row>
    <row r="924" spans="1:98" ht="18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</row>
    <row r="925" spans="1:98" ht="1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</row>
    <row r="926" spans="1:98" ht="1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</row>
    <row r="927" spans="1:98" ht="18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</row>
    <row r="928" spans="1:98" ht="18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</row>
    <row r="929" spans="1:98" ht="18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</row>
    <row r="930" spans="1:98" ht="18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</row>
    <row r="931" spans="1:98" ht="18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</row>
    <row r="932" spans="1:98" ht="1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</row>
    <row r="933" spans="1:98" ht="18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</row>
    <row r="934" spans="1:98" ht="1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</row>
    <row r="935" spans="1:98" ht="18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</row>
    <row r="936" spans="1:98" ht="1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</row>
    <row r="937" spans="1:98" ht="1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</row>
    <row r="938" spans="1:98" ht="18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</row>
    <row r="939" spans="1:98" ht="1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</row>
    <row r="940" spans="1:98" ht="18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</row>
    <row r="941" spans="1:98" ht="1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</row>
    <row r="942" spans="1:98" ht="1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</row>
    <row r="943" spans="1:98" ht="18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</row>
    <row r="944" spans="1:98" ht="1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</row>
    <row r="945" spans="1:98" ht="18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</row>
    <row r="946" spans="1:98" ht="1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</row>
    <row r="947" spans="1:98" ht="18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</row>
    <row r="948" spans="1:98" ht="1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</row>
    <row r="949" spans="1:98" ht="18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</row>
    <row r="950" spans="1:98" ht="1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</row>
    <row r="951" spans="1:98" ht="1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</row>
    <row r="952" spans="1:98" ht="1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</row>
    <row r="953" spans="1:98" ht="1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</row>
    <row r="954" spans="1:98" ht="18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</row>
    <row r="955" spans="1:98" ht="18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</row>
    <row r="956" spans="1:98" ht="1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</row>
    <row r="957" spans="1:98" ht="18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</row>
    <row r="958" spans="1:98" ht="1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</row>
    <row r="959" spans="1:98" ht="1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</row>
    <row r="960" spans="1:98" ht="18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</row>
    <row r="961" spans="1:98" ht="1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</row>
    <row r="962" spans="1:98" ht="1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</row>
    <row r="963" spans="1:98" ht="1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</row>
    <row r="964" spans="1:98" ht="1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</row>
    <row r="965" spans="1:98" ht="1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</row>
    <row r="966" spans="1:98" ht="1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</row>
    <row r="967" spans="1:98" ht="18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</row>
    <row r="968" spans="1:98" ht="18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</row>
    <row r="969" spans="1:98" ht="18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</row>
    <row r="970" spans="1:98" ht="1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</row>
    <row r="971" spans="1:98" ht="18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</row>
    <row r="972" spans="1:98" ht="1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</row>
    <row r="973" spans="1:98" ht="18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</row>
    <row r="974" spans="1:98" ht="18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</row>
    <row r="975" spans="1:98" ht="18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</row>
    <row r="976" spans="1:98" ht="1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</row>
    <row r="977" spans="1:98" ht="1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</row>
    <row r="978" spans="1:98" ht="1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</row>
    <row r="979" spans="1:98" ht="18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</row>
    <row r="980" spans="1:98" ht="18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</row>
    <row r="981" spans="1:98" ht="1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</row>
    <row r="982" spans="1:98" ht="1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</row>
    <row r="983" spans="1:98" ht="1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</row>
    <row r="984" spans="1:98" ht="18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</row>
    <row r="985" spans="1:98" ht="18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</row>
    <row r="986" spans="1:98" ht="18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</row>
    <row r="987" spans="1:98" ht="18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</row>
    <row r="988" spans="1:98" ht="18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</row>
    <row r="989" spans="1:98" ht="18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</row>
    <row r="990" spans="1:98" ht="1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</row>
    <row r="991" spans="1:98" ht="1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</row>
    <row r="992" spans="1:98" ht="1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</row>
    <row r="993" spans="1:98" ht="1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</row>
    <row r="994" spans="1:98" ht="18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</row>
    <row r="995" spans="1:98" ht="1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</row>
    <row r="996" spans="1:98" ht="18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</row>
    <row r="997" spans="1:98" ht="18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</row>
    <row r="998" spans="1:98" ht="18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</row>
    <row r="999" spans="1:98" ht="18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</row>
    <row r="1000" spans="1:98" ht="18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</row>
    <row r="1001" spans="1:98" ht="18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</row>
    <row r="1002" spans="1:98" ht="18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</row>
    <row r="1003" spans="1:98" ht="18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</row>
    <row r="1004" spans="1:98" ht="1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</row>
    <row r="1005" spans="1:98" ht="18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</row>
    <row r="1006" spans="1:98" ht="18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</row>
    <row r="1007" spans="1:98" ht="18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</row>
    <row r="1008" spans="1:98" ht="18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</row>
    <row r="1009" spans="1:98" ht="18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</row>
    <row r="1010" spans="1:98" ht="18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</row>
    <row r="1011" spans="1:98" ht="18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</row>
    <row r="1012" spans="1:98" ht="18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</row>
    <row r="1013" spans="1:98" ht="18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</row>
    <row r="1014" spans="1:98" ht="18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</row>
    <row r="1015" spans="1:98" ht="18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</row>
    <row r="1016" spans="1:98" ht="18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</row>
    <row r="1017" spans="1:98" ht="18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</row>
    <row r="1018" spans="1:98" ht="18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</row>
    <row r="1019" spans="1:98" ht="18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</row>
    <row r="1020" spans="1:98" ht="18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</row>
    <row r="1021" spans="1:98" ht="18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</row>
    <row r="1022" spans="1:98" ht="18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</row>
    <row r="1023" spans="1:98" ht="18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</row>
    <row r="1024" spans="1:98" ht="18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</row>
    <row r="1025" spans="1:98" ht="18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</row>
  </sheetData>
  <mergeCells count="78">
    <mergeCell ref="B36:B49"/>
    <mergeCell ref="B50:B57"/>
    <mergeCell ref="BZ4:CF4"/>
    <mergeCell ref="CB5:CF5"/>
    <mergeCell ref="BG5:BK5"/>
    <mergeCell ref="BI6:BJ6"/>
    <mergeCell ref="BZ5:CA6"/>
    <mergeCell ref="BW6:BX6"/>
    <mergeCell ref="CD6:CE6"/>
    <mergeCell ref="CF6:CF7"/>
    <mergeCell ref="BN5:BR5"/>
    <mergeCell ref="BS5:BT6"/>
    <mergeCell ref="BY6:BY7"/>
    <mergeCell ref="BL5:BM6"/>
    <mergeCell ref="AI6:AI7"/>
    <mergeCell ref="E63:M63"/>
    <mergeCell ref="N63:Y63"/>
    <mergeCell ref="D63:D64"/>
    <mergeCell ref="BK6:BK7"/>
    <mergeCell ref="V5:W6"/>
    <mergeCell ref="X5:AB5"/>
    <mergeCell ref="Z6:AA6"/>
    <mergeCell ref="AB6:AB7"/>
    <mergeCell ref="AC5:AD6"/>
    <mergeCell ref="CM6:CM7"/>
    <mergeCell ref="C4:C7"/>
    <mergeCell ref="BB6:BC6"/>
    <mergeCell ref="BP6:BQ6"/>
    <mergeCell ref="BU5:BY5"/>
    <mergeCell ref="D4:G4"/>
    <mergeCell ref="H4:N4"/>
    <mergeCell ref="AJ4:AP4"/>
    <mergeCell ref="AQ4:AW4"/>
    <mergeCell ref="AX4:BD4"/>
    <mergeCell ref="AC4:AI4"/>
    <mergeCell ref="BE4:BK4"/>
    <mergeCell ref="BL4:BR4"/>
    <mergeCell ref="BS4:BY4"/>
    <mergeCell ref="BR6:BR7"/>
    <mergeCell ref="BE5:BF6"/>
    <mergeCell ref="CG4:CM4"/>
    <mergeCell ref="CN4:CT4"/>
    <mergeCell ref="D5:D6"/>
    <mergeCell ref="E5:E6"/>
    <mergeCell ref="F5:G6"/>
    <mergeCell ref="H5:I6"/>
    <mergeCell ref="J5:N5"/>
    <mergeCell ref="AJ5:AK6"/>
    <mergeCell ref="L6:M6"/>
    <mergeCell ref="AL5:AP5"/>
    <mergeCell ref="AQ5:AR6"/>
    <mergeCell ref="AN6:AO6"/>
    <mergeCell ref="N6:N7"/>
    <mergeCell ref="AP6:AP7"/>
    <mergeCell ref="AE5:AI5"/>
    <mergeCell ref="AG6:AH6"/>
    <mergeCell ref="B8:B19"/>
    <mergeCell ref="B20:B35"/>
    <mergeCell ref="B4:B7"/>
    <mergeCell ref="CP5:CT5"/>
    <mergeCell ref="CR6:CS6"/>
    <mergeCell ref="CT6:CT7"/>
    <mergeCell ref="AS5:AW5"/>
    <mergeCell ref="AX5:AY6"/>
    <mergeCell ref="CG5:CH6"/>
    <mergeCell ref="CI5:CM5"/>
    <mergeCell ref="CN5:CO6"/>
    <mergeCell ref="AU6:AV6"/>
    <mergeCell ref="CK6:CL6"/>
    <mergeCell ref="AW6:AW7"/>
    <mergeCell ref="BD6:BD7"/>
    <mergeCell ref="AZ5:BD5"/>
    <mergeCell ref="V4:AB4"/>
    <mergeCell ref="O4:U4"/>
    <mergeCell ref="O5:P6"/>
    <mergeCell ref="Q5:U5"/>
    <mergeCell ref="S6:T6"/>
    <mergeCell ref="U6:U7"/>
  </mergeCells>
  <phoneticPr fontId="10" type="noConversion"/>
  <pageMargins left="0.7" right="0.7" top="0.75" bottom="0.75" header="0" footer="0"/>
  <pageSetup orientation="landscape"/>
  <ignoredErrors>
    <ignoredError sqref="Y6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AC59-DD19-4932-B1D6-842169D276D2}">
  <dimension ref="C6:S12"/>
  <sheetViews>
    <sheetView showGridLines="0" workbookViewId="0">
      <selection activeCell="I11" sqref="I11:J11"/>
    </sheetView>
  </sheetViews>
  <sheetFormatPr defaultColWidth="9" defaultRowHeight="13.5"/>
  <cols>
    <col min="1" max="2" width="9" style="70"/>
    <col min="3" max="3" width="14" style="69" bestFit="1" customWidth="1"/>
    <col min="4" max="15" width="13.28515625" style="69" customWidth="1"/>
    <col min="16" max="16" width="15.7109375" style="69" bestFit="1" customWidth="1"/>
    <col min="17" max="17" width="13.28515625" style="69" customWidth="1"/>
    <col min="18" max="18" width="15.7109375" style="69" bestFit="1" customWidth="1"/>
    <col min="19" max="19" width="9" style="69"/>
    <col min="20" max="16384" width="9" style="70"/>
  </cols>
  <sheetData>
    <row r="6" spans="3:18">
      <c r="C6" s="109" t="s">
        <v>80</v>
      </c>
      <c r="D6" s="111" t="s">
        <v>81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3:18">
      <c r="C7" s="110"/>
      <c r="D7" s="71" t="s">
        <v>82</v>
      </c>
      <c r="E7" s="71" t="s">
        <v>83</v>
      </c>
      <c r="F7" s="71" t="s">
        <v>84</v>
      </c>
      <c r="G7" s="71" t="s">
        <v>85</v>
      </c>
      <c r="H7" s="71" t="s">
        <v>86</v>
      </c>
      <c r="I7" s="71" t="s">
        <v>87</v>
      </c>
      <c r="J7" s="71" t="s">
        <v>88</v>
      </c>
      <c r="K7" s="71" t="s">
        <v>89</v>
      </c>
      <c r="L7" s="71" t="s">
        <v>90</v>
      </c>
      <c r="M7" s="71" t="s">
        <v>91</v>
      </c>
      <c r="N7" s="71" t="s">
        <v>92</v>
      </c>
      <c r="O7" s="71" t="s">
        <v>93</v>
      </c>
      <c r="P7" s="71" t="s">
        <v>94</v>
      </c>
      <c r="Q7" s="71" t="s">
        <v>95</v>
      </c>
      <c r="R7" s="71" t="s">
        <v>96</v>
      </c>
    </row>
    <row r="8" spans="3:18" ht="22.5" customHeight="1">
      <c r="C8" s="71" t="s">
        <v>97</v>
      </c>
      <c r="D8" s="72">
        <v>1374850085</v>
      </c>
      <c r="E8" s="72">
        <v>447230442</v>
      </c>
      <c r="F8" s="72">
        <v>806424969</v>
      </c>
      <c r="G8" s="72">
        <v>759225782</v>
      </c>
      <c r="H8" s="72">
        <v>885655632</v>
      </c>
      <c r="I8" s="72">
        <v>596971311</v>
      </c>
      <c r="J8" s="72"/>
      <c r="K8" s="72"/>
      <c r="L8" s="72"/>
      <c r="M8" s="72"/>
      <c r="N8" s="72"/>
      <c r="O8" s="72"/>
      <c r="P8" s="73">
        <f>SUM(D8:I8)</f>
        <v>4870358221</v>
      </c>
      <c r="Q8" s="73">
        <f>SUM(J8:O8)</f>
        <v>0</v>
      </c>
      <c r="R8" s="73">
        <f>SUM(D8:O8)</f>
        <v>4870358221</v>
      </c>
    </row>
    <row r="9" spans="3:18" ht="22.5" customHeight="1">
      <c r="C9" s="71" t="s">
        <v>98</v>
      </c>
      <c r="D9" s="72">
        <v>1072616652</v>
      </c>
      <c r="E9" s="72">
        <v>1226983125</v>
      </c>
      <c r="F9" s="72">
        <v>1100875989</v>
      </c>
      <c r="G9" s="72">
        <v>1590629549</v>
      </c>
      <c r="H9" s="72">
        <v>1723910296</v>
      </c>
      <c r="I9" s="72">
        <f>I10-I8</f>
        <v>1635581119</v>
      </c>
      <c r="J9" s="72"/>
      <c r="K9" s="72"/>
      <c r="L9" s="72"/>
      <c r="M9" s="72"/>
      <c r="N9" s="72"/>
      <c r="O9" s="72"/>
      <c r="P9" s="73">
        <f>SUM(D9:I9)</f>
        <v>8350596730</v>
      </c>
      <c r="Q9" s="73">
        <f>SUM(J9:O9)</f>
        <v>0</v>
      </c>
      <c r="R9" s="73">
        <f>SUM(D9:O9)</f>
        <v>8350596730</v>
      </c>
    </row>
    <row r="10" spans="3:18" ht="22.5" customHeight="1">
      <c r="C10" s="71" t="s">
        <v>99</v>
      </c>
      <c r="D10" s="72">
        <f>D8+D9</f>
        <v>2447466737</v>
      </c>
      <c r="E10" s="72">
        <f t="shared" ref="E10:R10" si="0">E8+E9</f>
        <v>1674213567</v>
      </c>
      <c r="F10" s="72">
        <f t="shared" si="0"/>
        <v>1907300958</v>
      </c>
      <c r="G10" s="72">
        <f t="shared" si="0"/>
        <v>2349855331</v>
      </c>
      <c r="H10" s="72">
        <f t="shared" si="0"/>
        <v>2609565928</v>
      </c>
      <c r="I10" s="72">
        <v>2232552430</v>
      </c>
      <c r="J10" s="72">
        <f t="shared" si="0"/>
        <v>0</v>
      </c>
      <c r="K10" s="72">
        <f t="shared" si="0"/>
        <v>0</v>
      </c>
      <c r="L10" s="72">
        <f t="shared" si="0"/>
        <v>0</v>
      </c>
      <c r="M10" s="72">
        <f t="shared" si="0"/>
        <v>0</v>
      </c>
      <c r="N10" s="72">
        <f t="shared" si="0"/>
        <v>0</v>
      </c>
      <c r="O10" s="72">
        <f t="shared" si="0"/>
        <v>0</v>
      </c>
      <c r="P10" s="72">
        <f t="shared" si="0"/>
        <v>13220954951</v>
      </c>
      <c r="Q10" s="72">
        <f t="shared" si="0"/>
        <v>0</v>
      </c>
      <c r="R10" s="72">
        <f t="shared" si="0"/>
        <v>13220954951</v>
      </c>
    </row>
    <row r="11" spans="3:18">
      <c r="D11" s="74">
        <f t="shared" ref="D11:F12" si="1">D8/D$10</f>
        <v>0.56174413495205755</v>
      </c>
      <c r="E11" s="74">
        <f t="shared" si="1"/>
        <v>0.26712866913471855</v>
      </c>
      <c r="F11" s="74">
        <f t="shared" si="1"/>
        <v>0.42280950241099813</v>
      </c>
      <c r="G11" s="74">
        <f t="shared" ref="G11:H11" si="2">G8/G$10</f>
        <v>0.32309469097270144</v>
      </c>
      <c r="H11" s="74">
        <f t="shared" si="2"/>
        <v>0.33938810378275297</v>
      </c>
      <c r="I11" s="74">
        <f t="shared" ref="I11" si="3">I8/I$10</f>
        <v>0.26739408355126515</v>
      </c>
      <c r="J11" s="74"/>
      <c r="K11" s="74"/>
      <c r="L11" s="74"/>
      <c r="M11" s="74"/>
      <c r="N11" s="74"/>
      <c r="O11" s="74"/>
      <c r="P11" s="74">
        <f t="shared" ref="P11:R12" si="4">P8/P$10</f>
        <v>0.3683817272693769</v>
      </c>
      <c r="Q11" s="74"/>
      <c r="R11" s="74">
        <f t="shared" si="4"/>
        <v>0.3683817272693769</v>
      </c>
    </row>
    <row r="12" spans="3:18">
      <c r="D12" s="74">
        <f t="shared" si="1"/>
        <v>0.43825586504794245</v>
      </c>
      <c r="E12" s="74">
        <f t="shared" si="1"/>
        <v>0.73287133086528145</v>
      </c>
      <c r="F12" s="74">
        <f t="shared" si="1"/>
        <v>0.57719049758900187</v>
      </c>
      <c r="G12" s="74">
        <f t="shared" ref="G12:H12" si="5">G9/G$10</f>
        <v>0.67690530902729862</v>
      </c>
      <c r="H12" s="74">
        <f t="shared" si="5"/>
        <v>0.66061189621724703</v>
      </c>
      <c r="I12" s="74">
        <f t="shared" ref="I12" si="6">I9/I$10</f>
        <v>0.73260591644873485</v>
      </c>
      <c r="J12" s="74"/>
      <c r="K12" s="74"/>
      <c r="L12" s="74"/>
      <c r="M12" s="74"/>
      <c r="N12" s="74"/>
      <c r="O12" s="74"/>
      <c r="P12" s="74">
        <f t="shared" si="4"/>
        <v>0.6316182727306231</v>
      </c>
      <c r="Q12" s="74"/>
      <c r="R12" s="74">
        <f t="shared" si="4"/>
        <v>0.6316182727306231</v>
      </c>
    </row>
  </sheetData>
  <mergeCells count="2">
    <mergeCell ref="C6:C7"/>
    <mergeCell ref="D6:R6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절감액V2</vt:lpstr>
      <vt:lpstr>직납비율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윤미</dc:creator>
  <cp:lastModifiedBy>김 영학</cp:lastModifiedBy>
  <dcterms:created xsi:type="dcterms:W3CDTF">2025-06-01T23:58:32Z</dcterms:created>
  <dcterms:modified xsi:type="dcterms:W3CDTF">2026-07-08T09:54:13Z</dcterms:modified>
</cp:coreProperties>
</file>